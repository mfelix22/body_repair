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 with Prices" sheetId="1" state="visible" r:id="rId3"/>
    <sheet name="tanggapan temuan" sheetId="2" state="visible" r:id="rId4"/>
    <sheet name="Opname template" sheetId="3" state="visible" r:id="rId5"/>
  </sheets>
  <definedNames>
    <definedName function="false" hidden="true" localSheetId="2" name="_xlnm._FilterDatabase" vbProcedure="false">'Opname template'!$A$1:$G$246</definedName>
    <definedName function="false" hidden="true" localSheetId="0" name="_xlnm._FilterDatabase" vbProcedure="false">'Stock with Prices'!$A$4:$N$244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<sst xmlns="http://schemas.openxmlformats.org/spreadsheetml/2006/main" count="1946" uniqueCount="651">
  <si>
    <t xml:space="preserve">STOCK LIST WITH PRICES</t>
  </si>
  <si>
    <t xml:space="preserve">Generated: 23 Oct 2026 09:45   —   Hans Limerta</t>
  </si>
  <si>
    <t xml:space="preserve">tanggapan temuan </t>
  </si>
  <si>
    <t xml:space="preserve">dari rekap pembelian</t>
  </si>
  <si>
    <t xml:space="preserve">No.</t>
  </si>
  <si>
    <t xml:space="preserve">Item Code</t>
  </si>
  <si>
    <t xml:space="preserve">Item Name</t>
  </si>
  <si>
    <t xml:space="preserve">Item Type</t>
  </si>
  <si>
    <t xml:space="preserve">Current Stock</t>
  </si>
  <si>
    <t xml:space="preserve">SO fisik</t>
  </si>
  <si>
    <t xml:space="preserve">UOM</t>
  </si>
  <si>
    <t xml:space="preserve">Reorder Level</t>
  </si>
  <si>
    <t xml:space="preserve">Status</t>
  </si>
  <si>
    <t xml:space="preserve">Avg. Purchase Cost (Rp)</t>
  </si>
  <si>
    <t xml:space="preserve">Avg Price</t>
  </si>
  <si>
    <t xml:space="preserve">Nilai Stok (Rp)</t>
  </si>
  <si>
    <t xml:space="preserve">Selling Price (Rp)</t>
  </si>
  <si>
    <t xml:space="preserve">Stock Value (Rp)</t>
  </si>
  <si>
    <t xml:space="preserve">B0017</t>
  </si>
  <si>
    <t xml:space="preserve">ISAMU 3500</t>
  </si>
  <si>
    <t xml:space="preserve">Chemical</t>
  </si>
  <si>
    <t xml:space="preserve">GRM</t>
  </si>
  <si>
    <t xml:space="preserve">Good</t>
  </si>
  <si>
    <t xml:space="preserve">B0018</t>
  </si>
  <si>
    <t xml:space="preserve">ISAMU 3908</t>
  </si>
  <si>
    <t xml:space="preserve">B0019</t>
  </si>
  <si>
    <t xml:space="preserve">LUX - clear/vernish doff</t>
  </si>
  <si>
    <t xml:space="preserve">B0020</t>
  </si>
  <si>
    <t xml:space="preserve">wallmate quickseal waterproof exterior</t>
  </si>
  <si>
    <t xml:space="preserve">Out of Stock</t>
  </si>
  <si>
    <t xml:space="preserve">B0021</t>
  </si>
  <si>
    <t xml:space="preserve">paint guard SBK - semir ban basah kuyup</t>
  </si>
  <si>
    <t xml:space="preserve">B0022</t>
  </si>
  <si>
    <t xml:space="preserve">paint guard glass-ion engine dressing</t>
  </si>
  <si>
    <t xml:space="preserve">B0023</t>
  </si>
  <si>
    <t xml:space="preserve">Thinner PU</t>
  </si>
  <si>
    <t xml:space="preserve">B0024</t>
  </si>
  <si>
    <t xml:space="preserve">Thinner ND (cuci)</t>
  </si>
  <si>
    <t xml:space="preserve">B0025</t>
  </si>
  <si>
    <t xml:space="preserve">Semir Ban / tyre polish</t>
  </si>
  <si>
    <t xml:space="preserve">BTL</t>
  </si>
  <si>
    <t xml:space="preserve">B0026</t>
  </si>
  <si>
    <t xml:space="preserve">Compound Axial Cut 1kg</t>
  </si>
  <si>
    <t xml:space="preserve">B0027</t>
  </si>
  <si>
    <t xml:space="preserve">Compound Axial Cut plus 1kg</t>
  </si>
  <si>
    <t xml:space="preserve">B0028</t>
  </si>
  <si>
    <t xml:space="preserve">Compound Axial finish plus 1kg</t>
  </si>
  <si>
    <t xml:space="preserve">B0029</t>
  </si>
  <si>
    <t xml:space="preserve">WD</t>
  </si>
  <si>
    <t xml:space="preserve">B0030</t>
  </si>
  <si>
    <t xml:space="preserve">PCS</t>
  </si>
  <si>
    <t xml:space="preserve">B0037</t>
  </si>
  <si>
    <t xml:space="preserve">WATER SPOT/JAMUR KACA DAN JAMUR BODY</t>
  </si>
  <si>
    <t xml:space="preserve">B0038</t>
  </si>
  <si>
    <t xml:space="preserve">GLASS POLISH</t>
  </si>
  <si>
    <t xml:space="preserve">B0039</t>
  </si>
  <si>
    <t xml:space="preserve">MAGIC DRESSING INTERIOR/RUANG KAP MESIN</t>
  </si>
  <si>
    <t xml:space="preserve">B0040</t>
  </si>
  <si>
    <t xml:space="preserve">CLEAR COAT 360 (Include Hardiner)</t>
  </si>
  <si>
    <t xml:space="preserve">B0041</t>
  </si>
  <si>
    <t xml:space="preserve">MS CLEAR COAT 280 (Include Hardiner)</t>
  </si>
  <si>
    <t xml:space="preserve">C0001</t>
  </si>
  <si>
    <t xml:space="preserve">Kabel Ties 200x2.5-htm</t>
  </si>
  <si>
    <t xml:space="preserve">Consumable</t>
  </si>
  <si>
    <t xml:space="preserve">C0002</t>
  </si>
  <si>
    <t xml:space="preserve">Kabel Ties 300x3.6-htm</t>
  </si>
  <si>
    <t xml:space="preserve">C0003</t>
  </si>
  <si>
    <t xml:space="preserve">Kabel Ties Klip Kecil</t>
  </si>
  <si>
    <t xml:space="preserve">C0004</t>
  </si>
  <si>
    <t xml:space="preserve">Kabel Ties Klip Besar</t>
  </si>
  <si>
    <t xml:space="preserve">C0005</t>
  </si>
  <si>
    <t xml:space="preserve">Masking tape 24 (kecil)</t>
  </si>
  <si>
    <t xml:space="preserve">C0006</t>
  </si>
  <si>
    <t xml:space="preserve">Masking tape 48 (besar)</t>
  </si>
  <si>
    <t xml:space="preserve">C0007</t>
  </si>
  <si>
    <t xml:space="preserve">Borax</t>
  </si>
  <si>
    <t xml:space="preserve">C0008</t>
  </si>
  <si>
    <t xml:space="preserve">Kain Majun min.50Kg</t>
  </si>
  <si>
    <t xml:space="preserve">KG</t>
  </si>
  <si>
    <t xml:space="preserve">C0009</t>
  </si>
  <si>
    <t xml:space="preserve">Amplas Nikken 100</t>
  </si>
  <si>
    <t xml:space="preserve">LBR</t>
  </si>
  <si>
    <t xml:space="preserve">C0010</t>
  </si>
  <si>
    <t xml:space="preserve">Amplas Nikken 120</t>
  </si>
  <si>
    <t xml:space="preserve">C0011</t>
  </si>
  <si>
    <t xml:space="preserve">Amplas Nikken 240</t>
  </si>
  <si>
    <t xml:space="preserve">C0012</t>
  </si>
  <si>
    <t xml:space="preserve">Amplas Nikken 360</t>
  </si>
  <si>
    <t xml:space="preserve">C0013</t>
  </si>
  <si>
    <t xml:space="preserve">Amplas Nikken 400</t>
  </si>
  <si>
    <t xml:space="preserve">C0014</t>
  </si>
  <si>
    <t xml:space="preserve">Amplas Nikken 600</t>
  </si>
  <si>
    <t xml:space="preserve">C0015</t>
  </si>
  <si>
    <t xml:space="preserve">Amplas Nikken 1000</t>
  </si>
  <si>
    <t xml:space="preserve">C0016</t>
  </si>
  <si>
    <t xml:space="preserve">Amplas Nikken 1500</t>
  </si>
  <si>
    <t xml:space="preserve">C0017</t>
  </si>
  <si>
    <t xml:space="preserve">Amplas Nikken 2000</t>
  </si>
  <si>
    <t xml:space="preserve">C0018</t>
  </si>
  <si>
    <t xml:space="preserve">Amplas Crocodile 120</t>
  </si>
  <si>
    <t xml:space="preserve">C0019</t>
  </si>
  <si>
    <t xml:space="preserve">Amplas sending P120</t>
  </si>
  <si>
    <t xml:space="preserve">C0020</t>
  </si>
  <si>
    <t xml:space="preserve">Power Glue</t>
  </si>
  <si>
    <t xml:space="preserve">C0021</t>
  </si>
  <si>
    <t xml:space="preserve">Lem Aibon 300grm</t>
  </si>
  <si>
    <t xml:space="preserve">C0022</t>
  </si>
  <si>
    <t xml:space="preserve">Double Tape 3M Besar</t>
  </si>
  <si>
    <t xml:space="preserve">C0023</t>
  </si>
  <si>
    <t xml:space="preserve">Double Tape 3M Kecil</t>
  </si>
  <si>
    <t xml:space="preserve">C0024</t>
  </si>
  <si>
    <t xml:space="preserve">Dextone / lem besi</t>
  </si>
  <si>
    <t xml:space="preserve">C0025</t>
  </si>
  <si>
    <t xml:space="preserve">Lap Microfiber</t>
  </si>
  <si>
    <t xml:space="preserve">C0026</t>
  </si>
  <si>
    <t xml:space="preserve">Lakban Bening Besar</t>
  </si>
  <si>
    <t xml:space="preserve">ROLL</t>
  </si>
  <si>
    <t xml:space="preserve">C0027</t>
  </si>
  <si>
    <t xml:space="preserve">Lap Tack Cloth Putih</t>
  </si>
  <si>
    <t xml:space="preserve">C0028</t>
  </si>
  <si>
    <t xml:space="preserve">Lap Tack Cloth Kuning</t>
  </si>
  <si>
    <t xml:space="preserve">C0029</t>
  </si>
  <si>
    <t xml:space="preserve">Masking Film Roll</t>
  </si>
  <si>
    <t xml:space="preserve">C0030</t>
  </si>
  <si>
    <t xml:space="preserve">Vinil</t>
  </si>
  <si>
    <t xml:space="preserve">C0031</t>
  </si>
  <si>
    <t xml:space="preserve">Klip Bumper (universal)</t>
  </si>
  <si>
    <t xml:space="preserve">SET</t>
  </si>
  <si>
    <t xml:space="preserve">C0032</t>
  </si>
  <si>
    <t xml:space="preserve">Tusuk Gigi</t>
  </si>
  <si>
    <t xml:space="preserve">PCK</t>
  </si>
  <si>
    <t xml:space="preserve">C0033</t>
  </si>
  <si>
    <t xml:space="preserve">Amplas Roll Taiyo No 60</t>
  </si>
  <si>
    <t xml:space="preserve">C0034</t>
  </si>
  <si>
    <t xml:space="preserve">Amplas Roll Taiyo No 120</t>
  </si>
  <si>
    <t xml:space="preserve">C0037</t>
  </si>
  <si>
    <t xml:space="preserve">bahan furing</t>
  </si>
  <si>
    <t xml:space="preserve">C0038</t>
  </si>
  <si>
    <t xml:space="preserve">ALF hi grade polyester putty</t>
  </si>
  <si>
    <t xml:space="preserve">C0040</t>
  </si>
  <si>
    <t xml:space="preserve">masker 3 apply</t>
  </si>
  <si>
    <t xml:space="preserve">C0041</t>
  </si>
  <si>
    <t xml:space="preserve">sarung tangan bahan/proyek</t>
  </si>
  <si>
    <t xml:space="preserve">C0054</t>
  </si>
  <si>
    <t xml:space="preserve">magnet white board colorfull</t>
  </si>
  <si>
    <t xml:space="preserve">C0058</t>
  </si>
  <si>
    <t xml:space="preserve">kancingan doortrim</t>
  </si>
  <si>
    <t xml:space="preserve">C0059</t>
  </si>
  <si>
    <t xml:space="preserve">microfiber - Hayabusa</t>
  </si>
  <si>
    <t xml:space="preserve">C0060</t>
  </si>
  <si>
    <t xml:space="preserve">sealent sikaflex</t>
  </si>
  <si>
    <t xml:space="preserve">C0061</t>
  </si>
  <si>
    <t xml:space="preserve">busa semir ban</t>
  </si>
  <si>
    <t xml:space="preserve">C0065</t>
  </si>
  <si>
    <t xml:space="preserve">cover filter masker 3M</t>
  </si>
  <si>
    <t xml:space="preserve">C0072</t>
  </si>
  <si>
    <t xml:space="preserve">borax bubuk</t>
  </si>
  <si>
    <t xml:space="preserve">C0073</t>
  </si>
  <si>
    <t xml:space="preserve">sabun colek</t>
  </si>
  <si>
    <t xml:space="preserve">C0074</t>
  </si>
  <si>
    <t xml:space="preserve">sealent hitam kaca</t>
  </si>
  <si>
    <t xml:space="preserve">C0075</t>
  </si>
  <si>
    <t xml:space="preserve">isi cutter kecil</t>
  </si>
  <si>
    <t xml:space="preserve">C0076</t>
  </si>
  <si>
    <t xml:space="preserve">isi cutter besar</t>
  </si>
  <si>
    <t xml:space="preserve">C0077</t>
  </si>
  <si>
    <t xml:space="preserve">filter masker 3M 5N11</t>
  </si>
  <si>
    <t xml:space="preserve">C0078</t>
  </si>
  <si>
    <t xml:space="preserve">selotip (PTFE)</t>
  </si>
  <si>
    <t xml:space="preserve">C0079</t>
  </si>
  <si>
    <t xml:space="preserve">isolasi hitam</t>
  </si>
  <si>
    <t xml:space="preserve">C0080</t>
  </si>
  <si>
    <t xml:space="preserve">amplas sunmight 80</t>
  </si>
  <si>
    <t xml:space="preserve">C0081</t>
  </si>
  <si>
    <t xml:space="preserve">amplas sunmight 120</t>
  </si>
  <si>
    <t xml:space="preserve">C0082</t>
  </si>
  <si>
    <t xml:space="preserve">amplas sunmight 220</t>
  </si>
  <si>
    <t xml:space="preserve">C0083</t>
  </si>
  <si>
    <t xml:space="preserve">amplas sunmight 240</t>
  </si>
  <si>
    <t xml:space="preserve">C0084</t>
  </si>
  <si>
    <t xml:space="preserve">amplas sunmight 320</t>
  </si>
  <si>
    <t xml:space="preserve">C0085</t>
  </si>
  <si>
    <t xml:space="preserve">amplas sunmight 400</t>
  </si>
  <si>
    <t xml:space="preserve">C0086</t>
  </si>
  <si>
    <t xml:space="preserve">amplas sunmight 600</t>
  </si>
  <si>
    <t xml:space="preserve">C0092</t>
  </si>
  <si>
    <t xml:space="preserve">flinkote - sealent</t>
  </si>
  <si>
    <t xml:space="preserve">C0093</t>
  </si>
  <si>
    <t xml:space="preserve">tanuri polyester putty - dempul</t>
  </si>
  <si>
    <t xml:space="preserve">C0094</t>
  </si>
  <si>
    <t xml:space="preserve">gelas plastik</t>
  </si>
  <si>
    <t xml:space="preserve">C0108</t>
  </si>
  <si>
    <t xml:space="preserve">paint stop filter</t>
  </si>
  <si>
    <t xml:space="preserve">MTR</t>
  </si>
  <si>
    <t xml:space="preserve">C0113</t>
  </si>
  <si>
    <t xml:space="preserve">sealent putih</t>
  </si>
  <si>
    <t xml:space="preserve">C0114</t>
  </si>
  <si>
    <t xml:space="preserve">gelas plastic 1000ml</t>
  </si>
  <si>
    <t xml:space="preserve">C0115</t>
  </si>
  <si>
    <t xml:space="preserve">gelas plastik 14 oz</t>
  </si>
  <si>
    <t xml:space="preserve">C0116</t>
  </si>
  <si>
    <t xml:space="preserve">battery alkaline</t>
  </si>
  <si>
    <t xml:space="preserve">C0117</t>
  </si>
  <si>
    <t xml:space="preserve">masker kesehatan</t>
  </si>
  <si>
    <t xml:space="preserve">D0001</t>
  </si>
  <si>
    <t xml:space="preserve">A.LF Hi-Grade @4Kg</t>
  </si>
  <si>
    <t xml:space="preserve">Body</t>
  </si>
  <si>
    <t xml:space="preserve">D0002</t>
  </si>
  <si>
    <t xml:space="preserve">Kertas roti lembaran / kg</t>
  </si>
  <si>
    <t xml:space="preserve">D0003</t>
  </si>
  <si>
    <t xml:space="preserve">Scotbrathe Abu-abu</t>
  </si>
  <si>
    <t xml:space="preserve">D0004</t>
  </si>
  <si>
    <t xml:space="preserve">Lap Kimtech Biru</t>
  </si>
  <si>
    <t xml:space="preserve">D0005</t>
  </si>
  <si>
    <t xml:space="preserve">Combi Wanda</t>
  </si>
  <si>
    <t xml:space="preserve">D0006</t>
  </si>
  <si>
    <t xml:space="preserve">Scrube dempul made in German</t>
  </si>
  <si>
    <t xml:space="preserve">D0007</t>
  </si>
  <si>
    <t xml:space="preserve">Mata Gerinda Potong-tbl</t>
  </si>
  <si>
    <t xml:space="preserve">D0008</t>
  </si>
  <si>
    <t xml:space="preserve">Kawat LasAcetylene@5kg</t>
  </si>
  <si>
    <t xml:space="preserve">D0009</t>
  </si>
  <si>
    <t xml:space="preserve">Baut Ulir Kunci 10</t>
  </si>
  <si>
    <t xml:space="preserve">D0010</t>
  </si>
  <si>
    <t xml:space="preserve">Baut Skrup Gypsum</t>
  </si>
  <si>
    <t xml:space="preserve">D0011</t>
  </si>
  <si>
    <t xml:space="preserve">Baut 10</t>
  </si>
  <si>
    <t xml:space="preserve">D0012</t>
  </si>
  <si>
    <t xml:space="preserve">Mur 10</t>
  </si>
  <si>
    <t xml:space="preserve">D0013</t>
  </si>
  <si>
    <t xml:space="preserve">Ring 10</t>
  </si>
  <si>
    <t xml:space="preserve">D0014</t>
  </si>
  <si>
    <t xml:space="preserve">Baut 12</t>
  </si>
  <si>
    <t xml:space="preserve">D0015</t>
  </si>
  <si>
    <t xml:space="preserve">Mur 12</t>
  </si>
  <si>
    <t xml:space="preserve">D0016</t>
  </si>
  <si>
    <t xml:space="preserve">Ring 12</t>
  </si>
  <si>
    <t xml:space="preserve">D0017</t>
  </si>
  <si>
    <t xml:space="preserve">Baut 14</t>
  </si>
  <si>
    <t xml:space="preserve">D0018</t>
  </si>
  <si>
    <t xml:space="preserve">Mur 14</t>
  </si>
  <si>
    <t xml:space="preserve">D0019</t>
  </si>
  <si>
    <t xml:space="preserve">Ring 14</t>
  </si>
  <si>
    <t xml:space="preserve">D0020</t>
  </si>
  <si>
    <t xml:space="preserve">BAUT 10 PANJANG</t>
  </si>
  <si>
    <t xml:space="preserve">D0021</t>
  </si>
  <si>
    <t xml:space="preserve">MUR 10 PANJANG</t>
  </si>
  <si>
    <t xml:space="preserve">D0022</t>
  </si>
  <si>
    <t xml:space="preserve">PLAT GALVANIS</t>
  </si>
  <si>
    <t xml:space="preserve">D0023</t>
  </si>
  <si>
    <t xml:space="preserve">Refill Gas Oxygen</t>
  </si>
  <si>
    <t xml:space="preserve">TBG</t>
  </si>
  <si>
    <t xml:space="preserve">D0024</t>
  </si>
  <si>
    <t xml:space="preserve">Refill Gas Acetyline</t>
  </si>
  <si>
    <t xml:space="preserve">E0011</t>
  </si>
  <si>
    <t xml:space="preserve">kanebo</t>
  </si>
  <si>
    <t xml:space="preserve">Equipment</t>
  </si>
  <si>
    <t xml:space="preserve">E0012</t>
  </si>
  <si>
    <t xml:space="preserve">vinyl tape 10 mm x 66 m</t>
  </si>
  <si>
    <t xml:space="preserve">P0001</t>
  </si>
  <si>
    <t xml:space="preserve">AXT FLIP CONTROLLER (0.9L)</t>
  </si>
  <si>
    <t xml:space="preserve">Cat</t>
  </si>
  <si>
    <t xml:space="preserve">P0002</t>
  </si>
  <si>
    <t xml:space="preserve">AXT-101 TRANSPARENT WHITE (0.9L)</t>
  </si>
  <si>
    <t xml:space="preserve">P0003</t>
  </si>
  <si>
    <t xml:space="preserve">AXT-200 ULTRA DEEP BLACK (0.9L)</t>
  </si>
  <si>
    <t xml:space="preserve">P0004</t>
  </si>
  <si>
    <t xml:space="preserve">AXT-203 BLUE BLACK (0.9L)</t>
  </si>
  <si>
    <t xml:space="preserve">P0005</t>
  </si>
  <si>
    <t xml:space="preserve">AXT 207 BLACK TONER (0.9L)</t>
  </si>
  <si>
    <t xml:space="preserve">P0006</t>
  </si>
  <si>
    <t xml:space="preserve">AXT-300 VIOLET BLUE (BLUE SHADE) (0.9L)</t>
  </si>
  <si>
    <t xml:space="preserve">P0007</t>
  </si>
  <si>
    <t xml:space="preserve">AXT-302 TRANSPARENT BLUE (0.9L)</t>
  </si>
  <si>
    <t xml:space="preserve">P0008</t>
  </si>
  <si>
    <t xml:space="preserve">AXT-304 GREEN BLUE (0.9L)</t>
  </si>
  <si>
    <t xml:space="preserve">P0009</t>
  </si>
  <si>
    <t xml:space="preserve">AXT-306 LAKE BLUE (0.9L)</t>
  </si>
  <si>
    <t xml:space="preserve">P0010</t>
  </si>
  <si>
    <t xml:space="preserve">AXT 307 BLUE (0.9L)</t>
  </si>
  <si>
    <t xml:space="preserve">P0011</t>
  </si>
  <si>
    <t xml:space="preserve">AXT-400 GREEN (0.9L)</t>
  </si>
  <si>
    <t xml:space="preserve">P0012</t>
  </si>
  <si>
    <t xml:space="preserve">AXT-401 YELLOW GREEN (0.9L)</t>
  </si>
  <si>
    <t xml:space="preserve">P0013</t>
  </si>
  <si>
    <t xml:space="preserve">AXT-402 GOLDEN GREEN (0.9L)</t>
  </si>
  <si>
    <t xml:space="preserve">P0014</t>
  </si>
  <si>
    <t xml:space="preserve">AXT-501 TRANSOXIDE RED (0.9L)</t>
  </si>
  <si>
    <t xml:space="preserve">P0015</t>
  </si>
  <si>
    <t xml:space="preserve">AXT-502 BRICK RED (0.9L)</t>
  </si>
  <si>
    <t xml:space="preserve">P0016</t>
  </si>
  <si>
    <t xml:space="preserve">AXT-503 BRIGHT RED (0.9L)</t>
  </si>
  <si>
    <t xml:space="preserve">P0017</t>
  </si>
  <si>
    <t xml:space="preserve">AXT-505 VIOLET RED (0.9L)</t>
  </si>
  <si>
    <t xml:space="preserve">P0018</t>
  </si>
  <si>
    <t xml:space="preserve">AXT-506 PEACH RED (0.9L)</t>
  </si>
  <si>
    <t xml:space="preserve">P0019</t>
  </si>
  <si>
    <t xml:space="preserve">AXT-508 MAROON RED (0.9L)</t>
  </si>
  <si>
    <t xml:space="preserve">P0020</t>
  </si>
  <si>
    <t xml:space="preserve">AXT-509 TRANSPARENT RED (0.9L)</t>
  </si>
  <si>
    <t xml:space="preserve">P0021</t>
  </si>
  <si>
    <t xml:space="preserve">AXT 512 ORANGE RED (0.9L)</t>
  </si>
  <si>
    <t xml:space="preserve">P0022</t>
  </si>
  <si>
    <t xml:space="preserve">AXT-513 BRILLIANT RED (0.9L)</t>
  </si>
  <si>
    <t xml:space="preserve">P0023</t>
  </si>
  <si>
    <t xml:space="preserve">AXT-515 LIGHT VIOLET RED (0.9L)</t>
  </si>
  <si>
    <t xml:space="preserve">P0024</t>
  </si>
  <si>
    <t xml:space="preserve">AXT-516 ROSE RED (0.9L)</t>
  </si>
  <si>
    <t xml:space="preserve">P0025</t>
  </si>
  <si>
    <t xml:space="preserve">AXT-518 EXTRA RED (0.9L)</t>
  </si>
  <si>
    <t xml:space="preserve">P0026</t>
  </si>
  <si>
    <t xml:space="preserve">AXT-600 MUD YELLOW (0.9L)</t>
  </si>
  <si>
    <t xml:space="preserve">P0027</t>
  </si>
  <si>
    <t xml:space="preserve">AXT-601 TRANSOXIDE YELLOW (0.9L)</t>
  </si>
  <si>
    <t xml:space="preserve">P0028</t>
  </si>
  <si>
    <t xml:space="preserve">AXT-605 LEMON YELLOW (0.9L)</t>
  </si>
  <si>
    <t xml:space="preserve">P0029</t>
  </si>
  <si>
    <t xml:space="preserve">AXT-607 LIGHT YELLOW (0.9L)</t>
  </si>
  <si>
    <t xml:space="preserve">P0030</t>
  </si>
  <si>
    <t xml:space="preserve">AXT-608 ORANGE YELLO (0.9L)</t>
  </si>
  <si>
    <t xml:space="preserve">P0031</t>
  </si>
  <si>
    <t xml:space="preserve">AXT-609 TRANSPARENT ORANGE YELLOW (0.9L)</t>
  </si>
  <si>
    <t xml:space="preserve">P0032</t>
  </si>
  <si>
    <t xml:space="preserve">AXT 700 VIOLET (0.9L)</t>
  </si>
  <si>
    <t xml:space="preserve">P0033</t>
  </si>
  <si>
    <t xml:space="preserve">AXT-810 EXTRA FINE SILVER (0.9L)</t>
  </si>
  <si>
    <t xml:space="preserve">P0034</t>
  </si>
  <si>
    <t xml:space="preserve">AXT-811 FINE WHITE SILVER (0.9L)</t>
  </si>
  <si>
    <t xml:space="preserve">P0035</t>
  </si>
  <si>
    <t xml:space="preserve">AXT-830 COARSE SILVER (0.9L)</t>
  </si>
  <si>
    <t xml:space="preserve">P0036</t>
  </si>
  <si>
    <t xml:space="preserve">AXT-831 EXTRA COARSE SILVER (0.9L)</t>
  </si>
  <si>
    <t xml:space="preserve">P0037</t>
  </si>
  <si>
    <t xml:space="preserve">AXT 841 FINE BRIGHT SILVER (0.9L)</t>
  </si>
  <si>
    <t xml:space="preserve">P0038</t>
  </si>
  <si>
    <t xml:space="preserve">AXT-843 MEDIUM BRIGHT SILVER (0.9L)</t>
  </si>
  <si>
    <t xml:space="preserve">P0039</t>
  </si>
  <si>
    <t xml:space="preserve">AXT-847 ULTRA BRIGHT SILVER (0.9L)</t>
  </si>
  <si>
    <t xml:space="preserve">P0040</t>
  </si>
  <si>
    <t xml:space="preserve">AXT-910 WHITE PEARL (0.9L)</t>
  </si>
  <si>
    <t xml:space="preserve">P0041</t>
  </si>
  <si>
    <t xml:space="preserve">AXT-911 FINE WHITE PEARL (0.9L)</t>
  </si>
  <si>
    <t xml:space="preserve">P0042</t>
  </si>
  <si>
    <t xml:space="preserve">AXT-930 BLUE PEARL (0.9L)</t>
  </si>
  <si>
    <t xml:space="preserve">P0043</t>
  </si>
  <si>
    <t xml:space="preserve">AXT 940 GREEN PEARL (0.9L)</t>
  </si>
  <si>
    <t xml:space="preserve">P0044</t>
  </si>
  <si>
    <t xml:space="preserve">AXT-950 RED PEARL (0.9L)</t>
  </si>
  <si>
    <t xml:space="preserve">P0045</t>
  </si>
  <si>
    <t xml:space="preserve">AXT-960 YELLOW PEARL (0.9L)</t>
  </si>
  <si>
    <t xml:space="preserve">P0046</t>
  </si>
  <si>
    <t xml:space="preserve">AXT-961 GOLDEN PEARL (0.9L)</t>
  </si>
  <si>
    <t xml:space="preserve">P0047</t>
  </si>
  <si>
    <t xml:space="preserve">AXT-963 GOLDEN YELLOW PEARL (0.9L)</t>
  </si>
  <si>
    <t xml:space="preserve">P0048</t>
  </si>
  <si>
    <t xml:space="preserve">AXT 965 COPPER PEARL (0.9L)</t>
  </si>
  <si>
    <t xml:space="preserve">P0049</t>
  </si>
  <si>
    <t xml:space="preserve">AXT-970 VIOLET PEARL (0.9L)</t>
  </si>
  <si>
    <t xml:space="preserve">P0050</t>
  </si>
  <si>
    <t xml:space="preserve">AXT-971 VIOLET RED PEARL (0.9L)</t>
  </si>
  <si>
    <t xml:space="preserve">P0051</t>
  </si>
  <si>
    <t xml:space="preserve">AXT-010 ECO CRYSTAL WHITE PEARL (0.9L)</t>
  </si>
  <si>
    <t xml:space="preserve">P0052</t>
  </si>
  <si>
    <t xml:space="preserve">AXT-030 ECO CRYSTAL BLUE PEARL (0.9L)</t>
  </si>
  <si>
    <t xml:space="preserve">P0053</t>
  </si>
  <si>
    <t xml:space="preserve">AXT 061 ECO CRYSTAL GOLDEN PEARL (0.9L)</t>
  </si>
  <si>
    <t xml:space="preserve">P0054</t>
  </si>
  <si>
    <t xml:space="preserve">AXT 040 ECO CRYSTAL GREEN PEARL (0.45L)</t>
  </si>
  <si>
    <t xml:space="preserve">P0055</t>
  </si>
  <si>
    <t xml:space="preserve">AXT-050 ECO CRYSTAL RED PEARL (0.45L)</t>
  </si>
  <si>
    <t xml:space="preserve">P0056</t>
  </si>
  <si>
    <t xml:space="preserve">AXT-9991 GREEN RED PEARL (0.45L)</t>
  </si>
  <si>
    <t xml:space="preserve">P0057</t>
  </si>
  <si>
    <t xml:space="preserve">AXT-9992 ULTRA FINE WHITE PEARL (0.45L)</t>
  </si>
  <si>
    <t xml:space="preserve">P0058</t>
  </si>
  <si>
    <t xml:space="preserve">AXT-850 MEDIUM GOLDEN SILVER (0.45L)</t>
  </si>
  <si>
    <t xml:space="preserve">P0059</t>
  </si>
  <si>
    <t xml:space="preserve">AXT 852 MEDIUM ORANGE SILVER (0.45L)</t>
  </si>
  <si>
    <t xml:space="preserve">P0060</t>
  </si>
  <si>
    <t xml:space="preserve">AXT-100 WHITE (3.5L)</t>
  </si>
  <si>
    <t xml:space="preserve">P0061</t>
  </si>
  <si>
    <t xml:space="preserve">AXT-206 EXTRA BLACK (3.5L)</t>
  </si>
  <si>
    <t xml:space="preserve">P0062</t>
  </si>
  <si>
    <t xml:space="preserve">AXT-3100 1K CLEAR BINDER (3.5L)</t>
  </si>
  <si>
    <t xml:space="preserve">P0063</t>
  </si>
  <si>
    <t xml:space="preserve">AXT-3520 1K BINDER (3.5L)</t>
  </si>
  <si>
    <t xml:space="preserve">P0064</t>
  </si>
  <si>
    <t xml:space="preserve">AXT 840 EXTRA FINE BRIGHT SILVER (3.5L)</t>
  </si>
  <si>
    <t xml:space="preserve">P0065</t>
  </si>
  <si>
    <t xml:space="preserve">AXT-820 MEDIUM SILVER (3.5L)</t>
  </si>
  <si>
    <t xml:space="preserve">P0066</t>
  </si>
  <si>
    <t xml:space="preserve">AXT-812 MEDIUM FINE WHITE SILVER (3.5L)</t>
  </si>
  <si>
    <t xml:space="preserve">P0067</t>
  </si>
  <si>
    <t xml:space="preserve">AXT-821 MEDIUM WHITE SILVER (3.5L)</t>
  </si>
  <si>
    <t xml:space="preserve">P0068</t>
  </si>
  <si>
    <t xml:space="preserve">AXT PU 2K PRIMER GREY (Include Hardiner)</t>
  </si>
  <si>
    <t xml:space="preserve">P0069</t>
  </si>
  <si>
    <t xml:space="preserve">AXT PU 2K PRIMER WHITE</t>
  </si>
  <si>
    <t xml:space="preserve">PCS_SET</t>
  </si>
  <si>
    <t xml:space="preserve">P0070</t>
  </si>
  <si>
    <t xml:space="preserve">AXT PU 2K PRIMER BLACK</t>
  </si>
  <si>
    <t xml:space="preserve">P0071</t>
  </si>
  <si>
    <t xml:space="preserve">AXT EP 2K PRIMER GREY (Include Hardiner)</t>
  </si>
  <si>
    <t xml:space="preserve">P0072</t>
  </si>
  <si>
    <t xml:space="preserve">AXT PU URETHANE REDUCER (20L)</t>
  </si>
  <si>
    <t xml:space="preserve">GAL</t>
  </si>
  <si>
    <t xml:space="preserve">P0073</t>
  </si>
  <si>
    <t xml:space="preserve">AXT PU FAST REDUCER (20L)</t>
  </si>
  <si>
    <t xml:space="preserve">P0074</t>
  </si>
  <si>
    <t xml:space="preserve">AXT PU SILICON DEGREASER (1L)</t>
  </si>
  <si>
    <t xml:space="preserve">P0075</t>
  </si>
  <si>
    <t xml:space="preserve">AXT 1K PR PP CLEAR (1L)</t>
  </si>
  <si>
    <t xml:space="preserve">P0076</t>
  </si>
  <si>
    <t xml:space="preserve">Autoglow ( Harga Include Hardliner)</t>
  </si>
  <si>
    <t xml:space="preserve">P0077</t>
  </si>
  <si>
    <t xml:space="preserve">Hardener Autoglow</t>
  </si>
  <si>
    <t xml:space="preserve">ML</t>
  </si>
  <si>
    <t xml:space="preserve">P0078</t>
  </si>
  <si>
    <t xml:space="preserve">Degreaser Autoglow</t>
  </si>
  <si>
    <t xml:space="preserve">SP0003</t>
  </si>
  <si>
    <t xml:space="preserve">Stoplamp kanan Daihatsu Sigra</t>
  </si>
  <si>
    <t xml:space="preserve">Sparepart</t>
  </si>
  <si>
    <t xml:space="preserve">SP0004</t>
  </si>
  <si>
    <t xml:space="preserve">TATAKAN PLAT NO</t>
  </si>
  <si>
    <t xml:space="preserve">SP0005</t>
  </si>
  <si>
    <t xml:space="preserve">BRACKET. FOG LAMP LH</t>
  </si>
  <si>
    <t xml:space="preserve">SP0006</t>
  </si>
  <si>
    <t xml:space="preserve">GRILLE ASSY RADIATOR</t>
  </si>
  <si>
    <t xml:space="preserve">SP0007</t>
  </si>
  <si>
    <t xml:space="preserve">HINGE. ASSY HOOD. RH</t>
  </si>
  <si>
    <t xml:space="preserve">SP0008</t>
  </si>
  <si>
    <t xml:space="preserve">HINGE. ASSY HOOD. LH</t>
  </si>
  <si>
    <t xml:space="preserve">SP0009</t>
  </si>
  <si>
    <t xml:space="preserve">EMBLEM. RAD GRILLE</t>
  </si>
  <si>
    <t xml:space="preserve">SP0010</t>
  </si>
  <si>
    <t xml:space="preserve">HEADLAMP ASSY. LH</t>
  </si>
  <si>
    <t xml:space="preserve">SP0011</t>
  </si>
  <si>
    <t xml:space="preserve">Spion Kanan Grandmax</t>
  </si>
  <si>
    <t xml:space="preserve">SP0012</t>
  </si>
  <si>
    <t xml:space="preserve">MIRROR A/S OUT RR LH (DR HS87940-BZB70)</t>
  </si>
  <si>
    <t xml:space="preserve">SP0013</t>
  </si>
  <si>
    <t xml:space="preserve">LENS &amp; BODY (DR HS81551-BZ100-000)</t>
  </si>
  <si>
    <t xml:space="preserve">SP0016</t>
  </si>
  <si>
    <t xml:space="preserve">LAMP ASSY. RR. LH ( 81590-0K200 )</t>
  </si>
  <si>
    <t xml:space="preserve">SP0017</t>
  </si>
  <si>
    <t xml:space="preserve">COVER. RR BUMPER L/C ( 52159-0K973 )</t>
  </si>
  <si>
    <t xml:space="preserve">SP0018</t>
  </si>
  <si>
    <t xml:space="preserve">COVER. RR BUMPER LWR ( 52169-0K200 )</t>
  </si>
  <si>
    <t xml:space="preserve">SP0019</t>
  </si>
  <si>
    <t xml:space="preserve">LAMP A/S RR COMBI LH ( 81560-0K530 )</t>
  </si>
  <si>
    <t xml:space="preserve">SP0020</t>
  </si>
  <si>
    <t xml:space="preserve">SENSOR. ULTRASONIC 1 ( 89341-06080-A0 )</t>
  </si>
  <si>
    <t xml:space="preserve">SP0021</t>
  </si>
  <si>
    <t xml:space="preserve">HEADLAMP ASSY LH (26060C010P)</t>
  </si>
  <si>
    <t xml:space="preserve">SP0022</t>
  </si>
  <si>
    <t xml:space="preserve">HEADYLAMP ASSY RH (81110-0KM01)</t>
  </si>
  <si>
    <t xml:space="preserve">SP0023</t>
  </si>
  <si>
    <t xml:space="preserve">GARNISH SA BCK DR LW (76802-BZ390)</t>
  </si>
  <si>
    <t xml:space="preserve">TE0001</t>
  </si>
  <si>
    <t xml:space="preserve">baking plate poles 5"</t>
  </si>
  <si>
    <t xml:space="preserve">Tools &amp; Equipment</t>
  </si>
  <si>
    <t xml:space="preserve">TE0002</t>
  </si>
  <si>
    <t xml:space="preserve">velcom foam interface pad 6"</t>
  </si>
  <si>
    <t xml:space="preserve">TE0004</t>
  </si>
  <si>
    <t xml:space="preserve">tali tambang 6mm</t>
  </si>
  <si>
    <t xml:space="preserve">TE0005</t>
  </si>
  <si>
    <t xml:space="preserve">kuas</t>
  </si>
  <si>
    <t xml:space="preserve">TE0011</t>
  </si>
  <si>
    <t xml:space="preserve">fixtop polishing pad hitam</t>
  </si>
  <si>
    <t xml:space="preserve">TE0012</t>
  </si>
  <si>
    <t xml:space="preserve">Masker cat &amp; dempul</t>
  </si>
  <si>
    <t xml:space="preserve">TE0013</t>
  </si>
  <si>
    <t xml:space="preserve">Plat List Sample Warna</t>
  </si>
  <si>
    <t xml:space="preserve">TE0014</t>
  </si>
  <si>
    <t xml:space="preserve">Plastik Zip Lock Besar</t>
  </si>
  <si>
    <t xml:space="preserve">TE0015</t>
  </si>
  <si>
    <t xml:space="preserve">Pad Poles 2 inch Merah</t>
  </si>
  <si>
    <t xml:space="preserve">TE0016</t>
  </si>
  <si>
    <t xml:space="preserve">Pad Poles 3 inch</t>
  </si>
  <si>
    <t xml:space="preserve">TE0017</t>
  </si>
  <si>
    <t xml:space="preserve">Pad Poles 5 inch</t>
  </si>
  <si>
    <t xml:space="preserve">TE0018</t>
  </si>
  <si>
    <t xml:space="preserve">Kanebo</t>
  </si>
  <si>
    <t xml:space="preserve">TE0019</t>
  </si>
  <si>
    <t xml:space="preserve">Pad Wool kriwil</t>
  </si>
  <si>
    <t xml:space="preserve">TE0020</t>
  </si>
  <si>
    <t xml:space="preserve">Toplos</t>
  </si>
  <si>
    <t xml:space="preserve">TE0021</t>
  </si>
  <si>
    <t xml:space="preserve">gelus plastik</t>
  </si>
  <si>
    <t xml:space="preserve">TE0022</t>
  </si>
  <si>
    <t xml:space="preserve">Gelas Ukur</t>
  </si>
  <si>
    <t xml:space="preserve">TE0023</t>
  </si>
  <si>
    <t xml:space="preserve">Kuas Minyak</t>
  </si>
  <si>
    <t xml:space="preserve">TE0024</t>
  </si>
  <si>
    <t xml:space="preserve">Gerjaji Kayu</t>
  </si>
  <si>
    <t xml:space="preserve">TE0026</t>
  </si>
  <si>
    <t xml:space="preserve">FOAM PAD BIRU 2.5"</t>
  </si>
  <si>
    <t xml:space="preserve">TE0032</t>
  </si>
  <si>
    <t xml:space="preserve">batu gerinda</t>
  </si>
  <si>
    <t xml:space="preserve">TE0033</t>
  </si>
  <si>
    <t xml:space="preserve">batu dish</t>
  </si>
  <si>
    <t xml:space="preserve">TE0034</t>
  </si>
  <si>
    <t xml:space="preserve">batu gerinda potong</t>
  </si>
  <si>
    <t xml:space="preserve">TE0035</t>
  </si>
  <si>
    <t xml:space="preserve">batu gerinda hamplas</t>
  </si>
  <si>
    <t xml:space="preserve">TE0036</t>
  </si>
  <si>
    <t xml:space="preserve">batu hamplas</t>
  </si>
  <si>
    <t xml:space="preserve">TE0037</t>
  </si>
  <si>
    <t xml:space="preserve">kuningan</t>
  </si>
  <si>
    <t xml:space="preserve">TE0038</t>
  </si>
  <si>
    <t xml:space="preserve">batu gerinda pengupas cat</t>
  </si>
  <si>
    <t xml:space="preserve">TE0039</t>
  </si>
  <si>
    <t xml:space="preserve">baut skrup gypsum</t>
  </si>
  <si>
    <t xml:space="preserve">TE0041</t>
  </si>
  <si>
    <t xml:space="preserve">mata gerinda asah</t>
  </si>
  <si>
    <t xml:space="preserve">TE0042</t>
  </si>
  <si>
    <t xml:space="preserve">Pad Poles 2 inch Hitam</t>
  </si>
  <si>
    <t xml:space="preserve">TOTAL STOCK VALUE:</t>
  </si>
  <si>
    <t xml:space="preserve">No</t>
  </si>
  <si>
    <t xml:space="preserve">SKU</t>
  </si>
  <si>
    <t xml:space="preserve">New_Qty</t>
  </si>
  <si>
    <t xml:space="preserve">NewAvgCost</t>
  </si>
  <si>
    <t xml:space="preserve">Keterangan</t>
  </si>
  <si>
    <t xml:space="preserve">24,47</t>
  </si>
  <si>
    <t xml:space="preserve">tidak ditemukan pembelian atas barang ini</t>
  </si>
  <si>
    <t xml:space="preserve">18,07</t>
  </si>
  <si>
    <t xml:space="preserve">23,09</t>
  </si>
  <si>
    <t xml:space="preserve">43,65</t>
  </si>
  <si>
    <t xml:space="preserve">3,34</t>
  </si>
  <si>
    <t xml:space="preserve">4,93</t>
  </si>
  <si>
    <t xml:space="preserve">Kabel Ties 300x3,6-htm</t>
  </si>
  <si>
    <t xml:space="preserve">8357,25</t>
  </si>
  <si>
    <t xml:space="preserve">159,67</t>
  </si>
  <si>
    <t xml:space="preserve">117,64</t>
  </si>
  <si>
    <t xml:space="preserve">3833,33</t>
  </si>
  <si>
    <t xml:space="preserve">11,99</t>
  </si>
  <si>
    <t xml:space="preserve">AXT-971 VIOLET RED PEARL (0,9L)</t>
  </si>
  <si>
    <t xml:space="preserve">238,83</t>
  </si>
  <si>
    <t xml:space="preserve">T0008</t>
  </si>
  <si>
    <t xml:space="preserve">T0011</t>
  </si>
  <si>
    <t xml:space="preserve">T0014</t>
  </si>
  <si>
    <t xml:space="preserve">Current_Qty</t>
  </si>
  <si>
    <t xml:space="preserve">Current_Avg_Cost</t>
  </si>
  <si>
    <t xml:space="preserve">New_Avg_Cost</t>
  </si>
  <si>
    <t xml:space="preserve">tidak ada pembelian atas barang ini</t>
  </si>
  <si>
    <t xml:space="preserve">Kabel Ties 200x2,5-htm</t>
  </si>
  <si>
    <t xml:space="preserve">HARDENER-EP2K-GRE</t>
  </si>
  <si>
    <t xml:space="preserve">HARDENER AXT EP 2K PRIMER GREY</t>
  </si>
  <si>
    <t xml:space="preserve">HARDENER-HS-CC-360</t>
  </si>
  <si>
    <t xml:space="preserve">HARDENER HS CLEAR COAT 360</t>
  </si>
  <si>
    <t xml:space="preserve">HARDENER-MS-CC-280</t>
  </si>
  <si>
    <t xml:space="preserve">HARDENER MS CLEAR COAT 280</t>
  </si>
  <si>
    <t xml:space="preserve">HARDENER-PU2K-BLA</t>
  </si>
  <si>
    <t xml:space="preserve">HARDENER AXT PU 2K PRIMER BLACK</t>
  </si>
  <si>
    <t xml:space="preserve">HARDENER-PU2K-GRE</t>
  </si>
  <si>
    <t xml:space="preserve">HARDENER AXT PU 2K PRIMER GREY</t>
  </si>
  <si>
    <t xml:space="preserve">HARDENER-PU2K-WHI</t>
  </si>
  <si>
    <t xml:space="preserve">HARDENER AXT PU 2K PRIMER WHITE</t>
  </si>
  <si>
    <t xml:space="preserve">HS-CLEAR-COAT</t>
  </si>
  <si>
    <t xml:space="preserve">MS-CLEAR-COAT</t>
  </si>
  <si>
    <t xml:space="preserve">AXT FLIP CONTROLLER (0,9L)</t>
  </si>
  <si>
    <t xml:space="preserve">AXT-101 TRANSPARENT WHITE (0,9L)</t>
  </si>
  <si>
    <t xml:space="preserve">AXT-200 ULTRA DEEP BLACK (0,9L)</t>
  </si>
  <si>
    <t xml:space="preserve">AXT-203 BLUE BLACK (0,9L)</t>
  </si>
  <si>
    <t xml:space="preserve">AXT 207 BLACK TONER (0,9L)</t>
  </si>
  <si>
    <t xml:space="preserve">AXT-300 VIOLET BLUE (BLUE SHADE) (0,9L)</t>
  </si>
  <si>
    <t xml:space="preserve">AXT-302 TRANSPARENT BLUE (0,9L)</t>
  </si>
  <si>
    <t xml:space="preserve">AXT-304 GREEN BLUE (0,9L)</t>
  </si>
  <si>
    <t xml:space="preserve">AXT-306 LAKE BLUE (0,9L)</t>
  </si>
  <si>
    <t xml:space="preserve">AXT 307 BLUE (0,9L)</t>
  </si>
  <si>
    <t xml:space="preserve">AXT-400 GREEN (0,9L)</t>
  </si>
  <si>
    <t xml:space="preserve">AXT-401 YELLOW GREEN (0,9L)</t>
  </si>
  <si>
    <t xml:space="preserve">AXT-402 GOLDEN GREEN (0,9L)</t>
  </si>
  <si>
    <t xml:space="preserve">AXT-501 TRANSOXIDE RED (0,9L)</t>
  </si>
  <si>
    <t xml:space="preserve">AXT-502 BRICK RED (0,9L)</t>
  </si>
  <si>
    <t xml:space="preserve">AXT-503 BRIGHT RED (0,9L)</t>
  </si>
  <si>
    <t xml:space="preserve">AXT-505 VIOLET RED (0,9L)</t>
  </si>
  <si>
    <t xml:space="preserve">AXT-506 PEACH RED (0,9L)</t>
  </si>
  <si>
    <t xml:space="preserve">AXT-508 MAROON RED (0,9L)</t>
  </si>
  <si>
    <t xml:space="preserve">AXT-509 TRANSPARENT RED (0,9L)</t>
  </si>
  <si>
    <t xml:space="preserve">AXT 512 ORANGE RED (0,9L)</t>
  </si>
  <si>
    <t xml:space="preserve">AXT-513 BRILLIANT RED (0,9L)</t>
  </si>
  <si>
    <t xml:space="preserve">AXT-515 LIGHT VIOLET RED (0,9L)</t>
  </si>
  <si>
    <t xml:space="preserve">AXT-516 ROSE RED (0,9L)</t>
  </si>
  <si>
    <t xml:space="preserve">AXT-518 EXTRA RED (0,9L)</t>
  </si>
  <si>
    <t xml:space="preserve">AXT-600 MUD YELLOW (0,9L)</t>
  </si>
  <si>
    <t xml:space="preserve">AXT-601 TRANSOXIDE YELLOW (0,9L)</t>
  </si>
  <si>
    <t xml:space="preserve">AXT-605 LEMON YELLOW (0,9L)</t>
  </si>
  <si>
    <t xml:space="preserve">AXT-607 LIGHT YELLOW (0,9L)</t>
  </si>
  <si>
    <t xml:space="preserve">AXT-608 ORANGE YELLO (0,9L)</t>
  </si>
  <si>
    <t xml:space="preserve">AXT-609 TRANSPARENT ORANGE YELLOW (0,9L)</t>
  </si>
  <si>
    <t xml:space="preserve">AXT 700 VIOLET (0,9L)</t>
  </si>
  <si>
    <t xml:space="preserve">AXT-810 EXTRA FINE SILVER (0,9L)</t>
  </si>
  <si>
    <t xml:space="preserve">AXT-811 FINE WHITE SILVER (0,9L)</t>
  </si>
  <si>
    <t xml:space="preserve">AXT-830 COARSE SILVER (0,9L)</t>
  </si>
  <si>
    <t xml:space="preserve">AXT-831 EXTRA COARSE SILVER (0,9L)</t>
  </si>
  <si>
    <t xml:space="preserve">AXT 841 FINE BRIGHT SILVER (0,9L)</t>
  </si>
  <si>
    <t xml:space="preserve">AXT-843 MEDIUM BRIGHT SILVER (0,9L)</t>
  </si>
  <si>
    <t xml:space="preserve">AXT-847 ULTRA BRIGHT SILVER (0,9L)</t>
  </si>
  <si>
    <t xml:space="preserve">AXT-910 WHITE PEARL (0,9L)</t>
  </si>
  <si>
    <t xml:space="preserve">AXT-911 FINE WHITE PEARL (0,9L)</t>
  </si>
  <si>
    <t xml:space="preserve">AXT-930 BLUE PEARL (0,9L)</t>
  </si>
  <si>
    <t xml:space="preserve">AXT 940 GREEN PEARL (0,9L)</t>
  </si>
  <si>
    <t xml:space="preserve">AXT-950 RED PEARL (0,9L)</t>
  </si>
  <si>
    <t xml:space="preserve">AXT-960 YELLOW PEARL (0,9L)</t>
  </si>
  <si>
    <t xml:space="preserve">AXT-961 GOLDEN PEARL (0,9L)</t>
  </si>
  <si>
    <t xml:space="preserve">AXT-963 GOLDEN YELLOW PEARL (0,9L)</t>
  </si>
  <si>
    <t xml:space="preserve">AXT 965 COPPER PEARL (0,9L)</t>
  </si>
  <si>
    <t xml:space="preserve">AXT-970 VIOLET PEARL (0,9L)</t>
  </si>
  <si>
    <t xml:space="preserve">AXT-010 ECO CRYSTAL WHITE PEARL (0,9L)</t>
  </si>
  <si>
    <t xml:space="preserve">AXT-030 ECO CRYSTAL BLUE PEARL (0,9L)</t>
  </si>
  <si>
    <t xml:space="preserve">AXT 061 ECO CRYSTAL GOLDEN PEARL (0,9L)</t>
  </si>
  <si>
    <t xml:space="preserve">AXT 040 ECO CRYSTAL GREEN PEARL (0,45L)</t>
  </si>
  <si>
    <t xml:space="preserve">AXT-050 ECO CRYSTAL RED PEARL (0,45L)</t>
  </si>
  <si>
    <t xml:space="preserve">AXT-9991 GREEN RED PEARL (0,45L)</t>
  </si>
  <si>
    <t xml:space="preserve">AXT-9992 ULTRA FINE WHITE PEARL (0,45L)</t>
  </si>
  <si>
    <t xml:space="preserve">AXT-850 MEDIUM GOLDEN SILVER (0,45L)</t>
  </si>
  <si>
    <t xml:space="preserve">AXT 852 MEDIUM ORANGE SILVER (0,45L)</t>
  </si>
  <si>
    <t xml:space="preserve">AXT-100 WHITE (3,5L)</t>
  </si>
  <si>
    <t xml:space="preserve">AXT-206 EXTRA BLACK (3,5L)</t>
  </si>
  <si>
    <t xml:space="preserve">AXT-3100 1K CLEAR BINDER (3,5L)</t>
  </si>
  <si>
    <t xml:space="preserve">AXT-3520 1K BINDER (3,5L)</t>
  </si>
  <si>
    <t xml:space="preserve">AXT 840 EXTRA FINE BRIGHT SILVER (3,5L)</t>
  </si>
  <si>
    <t xml:space="preserve">AXT-820 MEDIUM SILVER (3,5L)</t>
  </si>
  <si>
    <t xml:space="preserve">AXT-812 MEDIUM FINE WHITE SILVER (3,5L)</t>
  </si>
  <si>
    <t xml:space="preserve">AXT-821 MEDIUM WHITE SILVER (3,5L)</t>
  </si>
  <si>
    <t xml:space="preserve">BRACKET, FOG LAMP LH</t>
  </si>
  <si>
    <t xml:space="preserve">HINGE, ASSY HOOD, RH</t>
  </si>
  <si>
    <t xml:space="preserve">HINGE, ASSY HOOD, LH</t>
  </si>
  <si>
    <t xml:space="preserve">EMBLEM, RAD GRILLE</t>
  </si>
  <si>
    <t xml:space="preserve">HEADLAMP ASSY, LH</t>
  </si>
  <si>
    <t xml:space="preserve">LAMP ASSY, RR, LH ( 81590-0K200 )</t>
  </si>
  <si>
    <t xml:space="preserve">COVER, RR BUMPER L/C ( 52159-0K973 )</t>
  </si>
  <si>
    <t xml:space="preserve">COVER, RR BUMPER LWR ( 52169-0K200 )</t>
  </si>
  <si>
    <t xml:space="preserve">SENSOR, ULTRASONIC 1 ( 89341-06080-A0 )</t>
  </si>
  <si>
    <t xml:space="preserve">T0001</t>
  </si>
  <si>
    <t xml:space="preserve">DR ENGINE MOUNT AVANZA R</t>
  </si>
  <si>
    <t xml:space="preserve">T0002</t>
  </si>
  <si>
    <t xml:space="preserve">DR ENGINE MOUNT AVANZA L</t>
  </si>
  <si>
    <t xml:space="preserve">T0003</t>
  </si>
  <si>
    <t xml:space="preserve">DR MOUNTING TRANS AVANZA</t>
  </si>
  <si>
    <t xml:space="preserve">T0005</t>
  </si>
  <si>
    <t xml:space="preserve">T0006</t>
  </si>
  <si>
    <t xml:space="preserve">T0007</t>
  </si>
  <si>
    <t xml:space="preserve">T0009</t>
  </si>
  <si>
    <t xml:space="preserve">T0010</t>
  </si>
  <si>
    <t xml:space="preserve">T0012</t>
  </si>
  <si>
    <t xml:space="preserve">Pad Poles 2 inch</t>
  </si>
  <si>
    <t xml:space="preserve">Baut 10 panjang</t>
  </si>
  <si>
    <t xml:space="preserve">Mur 10 panjang</t>
  </si>
  <si>
    <t xml:space="preserve">Plat Galvanis 1.0mm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</si>
</sst>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i val="true"/>
      <sz val="11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155724"/>
      <name val="Calibri"/>
      <family val="0"/>
      <charset val="1"/>
    </font>
    <font>
      <b val="true"/>
      <sz val="11"/>
      <color rgb="FFCC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0"/>
      <name val="Arial"/>
      <family val="2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F00"/>
        <bgColor rgb="FFFF9900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2F7FC"/>
      </patternFill>
    </fill>
    <fill>
      <patternFill patternType="solid">
        <fgColor rgb="FFF2F7FC"/>
        <bgColor rgb="FFFFFFFF"/>
      </patternFill>
    </fill>
    <fill>
      <patternFill patternType="solid">
        <fgColor rgb="FFFADADD"/>
        <bgColor rgb="FFD9E8F5"/>
      </patternFill>
    </fill>
    <fill>
      <patternFill patternType="solid">
        <fgColor rgb="FFD9E8F5"/>
        <bgColor rgb="FFF2F7FC"/>
      </patternFill>
    </fill>
    <fill>
      <patternFill patternType="solid">
        <fgColor rgb="FFFFCC99"/>
        <bgColor rgb="FFFADADD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>
        <color rgb="FF1F4E79"/>
      </left>
      <right style="thin"/>
      <top style="medium">
        <color rgb="FF1F4E79"/>
      </top>
      <bottom style="thin"/>
      <diagonal/>
    </border>
    <border diagonalUp="false" diagonalDown="false">
      <left style="thin"/>
      <right style="thin"/>
      <top style="medium">
        <color rgb="FF1F4E79"/>
      </top>
      <bottom style="thin"/>
      <diagonal/>
    </border>
    <border diagonalUp="false" diagonalDown="false">
      <left style="thin"/>
      <right style="medium">
        <color rgb="FF1F4E79"/>
      </right>
      <top style="medium">
        <color rgb="FF1F4E79"/>
      </top>
      <bottom style="thin"/>
      <diagonal/>
    </border>
    <border diagonalUp="false" diagonalDown="false">
      <left style="medium">
        <color rgb="FF1F4E79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medium">
        <color rgb="FF1F4E79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F4E79"/>
      </left>
      <right/>
      <top/>
      <bottom style="medium">
        <color rgb="FF1F4E79"/>
      </bottom>
      <diagonal/>
    </border>
    <border diagonalUp="false" diagonalDown="false">
      <left/>
      <right/>
      <top/>
      <bottom style="medium">
        <color rgb="FF1F4E79"/>
      </bottom>
      <diagonal/>
    </border>
    <border diagonalUp="false" diagonalDown="false">
      <left style="medium"/>
      <right style="medium"/>
      <top style="medium"/>
      <bottom style="medium">
        <color rgb="FF1F4E79"/>
      </bottom>
      <diagonal/>
    </border>
    <border diagonalUp="false" diagonalDown="false">
      <left style="medium"/>
      <right style="medium">
        <color rgb="FF1F4E79"/>
      </right>
      <top style="medium"/>
      <bottom style="medium">
        <color rgb="FF1F4E79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5" borderId="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3" borderId="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5" borderId="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6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6" borderId="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6" borderId="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7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7" borderId="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7" borderId="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7FC"/>
          <bgColor rgb="FF000000"/>
        </patternFill>
      </fill>
    </dxf>
    <dxf>
      <fill>
        <patternFill patternType="solid">
          <fgColor rgb="FFFADAD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155724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ill>
        <patternFill patternType="solid">
          <fgColor rgb="FFFFBF00"/>
          <bgColor rgb="FF000000"/>
        </patternFill>
      </fill>
    </dxf>
    <dxf>
      <fill>
        <patternFill patternType="solid">
          <fgColor rgb="FFD9E8F5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7FC"/>
      <rgbColor rgb="FFD9E8F5"/>
      <rgbColor rgb="FF660066"/>
      <rgbColor rgb="FFFF8080"/>
      <rgbColor rgb="FF0066CC"/>
      <rgbColor rgb="FFFADA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66"/>
      <rgbColor rgb="FF969696"/>
      <rgbColor rgb="FF003366"/>
      <rgbColor rgb="FF339966"/>
      <rgbColor rgb="FF155724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4" topLeftCell="A105" activePane="bottomLeft" state="frozen"/>
      <selection pane="topLeft" activeCell="A1" activeCellId="0" sqref="A1"/>
      <selection pane="bottomLeft" activeCell="A26" activeCellId="0" sqref="A26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.03"/>
    <col collapsed="false" customWidth="true" hidden="false" outlineLevel="0" max="3" min="3" style="1" width="35"/>
    <col collapsed="false" customWidth="true" hidden="false" outlineLevel="0" max="4" min="4" style="1" width="16"/>
    <col collapsed="false" customWidth="true" hidden="false" outlineLevel="0" max="5" min="5" style="1" width="12.85"/>
    <col collapsed="false" customWidth="true" hidden="false" outlineLevel="0" max="6" min="6" style="2" width="10.52"/>
    <col collapsed="false" customWidth="true" hidden="false" outlineLevel="0" max="7" min="7" style="1" width="8.3"/>
    <col collapsed="false" customWidth="true" hidden="false" outlineLevel="0" max="8" min="8" style="1" width="14"/>
    <col collapsed="false" customWidth="true" hidden="false" outlineLevel="0" max="9" min="9" style="1" width="11.75"/>
    <col collapsed="false" customWidth="true" hidden="false" outlineLevel="0" max="10" min="10" style="1" width="21.12"/>
    <col collapsed="false" customWidth="true" hidden="false" outlineLevel="0" max="11" min="11" style="3" width="12.74"/>
    <col collapsed="false" customWidth="true" hidden="false" outlineLevel="0" max="12" min="12" style="3" width="15.27"/>
    <col collapsed="false" customWidth="true" hidden="false" outlineLevel="0" max="13" min="13" style="1" width="19.13"/>
    <col collapsed="false" customWidth="true" hidden="false" outlineLevel="0" max="14" min="14" style="1" width="16.58"/>
  </cols>
  <sheetData>
    <row r="1" customFormat="false" ht="17.35" hidden="false" customHeight="fals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4.25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Format="false" ht="14.25" hidden="false" customHeight="false" outlineLevel="0" collapsed="false">
      <c r="J3" s="6" t="s">
        <v>2</v>
      </c>
      <c r="K3" s="3" t="s">
        <v>3</v>
      </c>
      <c r="M3" s="3"/>
    </row>
    <row r="4" customFormat="false" ht="19.5" hidden="false" customHeight="true" outlineLevel="0" collapsed="false">
      <c r="A4" s="7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9" t="s">
        <v>9</v>
      </c>
      <c r="G4" s="8" t="s">
        <v>10</v>
      </c>
      <c r="H4" s="8" t="s">
        <v>11</v>
      </c>
      <c r="I4" s="8" t="s">
        <v>12</v>
      </c>
      <c r="J4" s="8" t="s">
        <v>13</v>
      </c>
      <c r="K4" s="10" t="s">
        <v>14</v>
      </c>
      <c r="L4" s="10" t="s">
        <v>15</v>
      </c>
      <c r="M4" s="8" t="s">
        <v>16</v>
      </c>
      <c r="N4" s="11" t="s">
        <v>17</v>
      </c>
    </row>
    <row r="5" customFormat="false" ht="14.25" hidden="false" customHeight="false" outlineLevel="0" collapsed="false">
      <c r="A5" s="12" t="n">
        <v>1</v>
      </c>
      <c r="B5" s="13" t="s">
        <v>18</v>
      </c>
      <c r="C5" s="13" t="s">
        <v>19</v>
      </c>
      <c r="D5" s="13" t="s">
        <v>20</v>
      </c>
      <c r="E5" s="14" t="n">
        <v>5000</v>
      </c>
      <c r="F5" s="15" t="n">
        <v>5515</v>
      </c>
      <c r="G5" s="16" t="s">
        <v>21</v>
      </c>
      <c r="H5" s="14" t="n">
        <v>0</v>
      </c>
      <c r="I5" s="17" t="s">
        <v>22</v>
      </c>
      <c r="J5" s="18" t="n">
        <v>135</v>
      </c>
      <c r="K5" s="19" t="n">
        <v>24.47</v>
      </c>
      <c r="L5" s="15" t="n">
        <f aca="false">F5*K5</f>
        <v>134952.05</v>
      </c>
      <c r="M5" s="18" t="n">
        <v>0</v>
      </c>
      <c r="N5" s="20" t="n">
        <v>675000</v>
      </c>
    </row>
    <row r="6" customFormat="false" ht="14.25" hidden="false" customHeight="false" outlineLevel="0" collapsed="false">
      <c r="A6" s="21" t="n">
        <v>2</v>
      </c>
      <c r="B6" s="22" t="s">
        <v>23</v>
      </c>
      <c r="C6" s="22" t="s">
        <v>24</v>
      </c>
      <c r="D6" s="22" t="s">
        <v>20</v>
      </c>
      <c r="E6" s="23" t="n">
        <v>4800</v>
      </c>
      <c r="F6" s="15" t="n">
        <v>5532.3</v>
      </c>
      <c r="G6" s="24" t="s">
        <v>21</v>
      </c>
      <c r="H6" s="23" t="n">
        <v>0</v>
      </c>
      <c r="I6" s="25" t="s">
        <v>22</v>
      </c>
      <c r="J6" s="26" t="n">
        <v>100</v>
      </c>
      <c r="K6" s="19" t="n">
        <v>18.07</v>
      </c>
      <c r="L6" s="15" t="n">
        <f aca="false">F6*K6</f>
        <v>99968.661</v>
      </c>
      <c r="M6" s="26" t="n">
        <v>0</v>
      </c>
      <c r="N6" s="27" t="n">
        <v>480000</v>
      </c>
    </row>
    <row r="7" customFormat="false" ht="14.25" hidden="false" customHeight="false" outlineLevel="0" collapsed="false">
      <c r="A7" s="12" t="n">
        <v>3</v>
      </c>
      <c r="B7" s="13" t="s">
        <v>25</v>
      </c>
      <c r="C7" s="13" t="s">
        <v>26</v>
      </c>
      <c r="D7" s="13" t="s">
        <v>20</v>
      </c>
      <c r="E7" s="14" t="n">
        <v>3146</v>
      </c>
      <c r="F7" s="15" t="n">
        <v>0</v>
      </c>
      <c r="G7" s="16" t="s">
        <v>21</v>
      </c>
      <c r="H7" s="14" t="n">
        <v>0</v>
      </c>
      <c r="I7" s="17" t="s">
        <v>22</v>
      </c>
      <c r="J7" s="18" t="n">
        <v>190</v>
      </c>
      <c r="K7" s="19" t="n">
        <v>0</v>
      </c>
      <c r="L7" s="15" t="n">
        <f aca="false">F7*K7</f>
        <v>0</v>
      </c>
      <c r="M7" s="18" t="n">
        <v>0</v>
      </c>
      <c r="N7" s="20" t="n">
        <v>597740</v>
      </c>
    </row>
    <row r="8" customFormat="false" ht="14.25" hidden="false" customHeight="false" outlineLevel="0" collapsed="false">
      <c r="A8" s="28" t="n">
        <v>4</v>
      </c>
      <c r="B8" s="29" t="s">
        <v>27</v>
      </c>
      <c r="C8" s="29" t="s">
        <v>28</v>
      </c>
      <c r="D8" s="29" t="s">
        <v>20</v>
      </c>
      <c r="E8" s="30" t="n">
        <v>0</v>
      </c>
      <c r="F8" s="15" t="n">
        <v>0</v>
      </c>
      <c r="G8" s="31" t="s">
        <v>21</v>
      </c>
      <c r="H8" s="30" t="n">
        <v>0</v>
      </c>
      <c r="I8" s="32" t="s">
        <v>29</v>
      </c>
      <c r="J8" s="33" t="n">
        <v>70</v>
      </c>
      <c r="K8" s="19" t="n">
        <v>0</v>
      </c>
      <c r="L8" s="15" t="n">
        <f aca="false">F8*K8</f>
        <v>0</v>
      </c>
      <c r="M8" s="33" t="n">
        <v>0</v>
      </c>
      <c r="N8" s="34" t="n">
        <v>0</v>
      </c>
    </row>
    <row r="9" customFormat="false" ht="14.25" hidden="false" customHeight="false" outlineLevel="0" collapsed="false">
      <c r="A9" s="12" t="n">
        <v>5</v>
      </c>
      <c r="B9" s="13" t="s">
        <v>30</v>
      </c>
      <c r="C9" s="13" t="s">
        <v>31</v>
      </c>
      <c r="D9" s="13" t="s">
        <v>20</v>
      </c>
      <c r="E9" s="14" t="n">
        <v>4900</v>
      </c>
      <c r="F9" s="15" t="n">
        <v>4200</v>
      </c>
      <c r="G9" s="16" t="s">
        <v>21</v>
      </c>
      <c r="H9" s="14" t="n">
        <v>0</v>
      </c>
      <c r="I9" s="17" t="s">
        <v>22</v>
      </c>
      <c r="J9" s="18" t="n">
        <v>19.4</v>
      </c>
      <c r="K9" s="19" t="n">
        <v>23.09</v>
      </c>
      <c r="L9" s="15" t="n">
        <f aca="false">F9*K9</f>
        <v>96978</v>
      </c>
      <c r="M9" s="18" t="n">
        <v>0</v>
      </c>
      <c r="N9" s="20" t="n">
        <v>95060</v>
      </c>
    </row>
    <row r="10" customFormat="false" ht="14.25" hidden="false" customHeight="false" outlineLevel="0" collapsed="false">
      <c r="A10" s="21" t="n">
        <v>6</v>
      </c>
      <c r="B10" s="22" t="s">
        <v>32</v>
      </c>
      <c r="C10" s="22" t="s">
        <v>33</v>
      </c>
      <c r="D10" s="22" t="s">
        <v>20</v>
      </c>
      <c r="E10" s="23" t="n">
        <v>5000</v>
      </c>
      <c r="F10" s="15" t="n">
        <v>5200</v>
      </c>
      <c r="G10" s="24" t="s">
        <v>21</v>
      </c>
      <c r="H10" s="23" t="n">
        <v>0</v>
      </c>
      <c r="I10" s="25" t="s">
        <v>22</v>
      </c>
      <c r="J10" s="26" t="n">
        <v>45.4</v>
      </c>
      <c r="K10" s="19" t="n">
        <v>43.65</v>
      </c>
      <c r="L10" s="15" t="n">
        <f aca="false">F10*K10</f>
        <v>226980</v>
      </c>
      <c r="M10" s="26" t="n">
        <v>0</v>
      </c>
      <c r="N10" s="27" t="n">
        <v>227000</v>
      </c>
    </row>
    <row r="11" customFormat="false" ht="14.25" hidden="false" customHeight="false" outlineLevel="0" collapsed="false">
      <c r="A11" s="12" t="n">
        <v>7</v>
      </c>
      <c r="B11" s="13" t="s">
        <v>34</v>
      </c>
      <c r="C11" s="13" t="s">
        <v>35</v>
      </c>
      <c r="D11" s="13" t="s">
        <v>20</v>
      </c>
      <c r="E11" s="14" t="n">
        <v>211600.09</v>
      </c>
      <c r="F11" s="15" t="n">
        <v>239200</v>
      </c>
      <c r="G11" s="16" t="s">
        <v>21</v>
      </c>
      <c r="H11" s="14" t="n">
        <v>0</v>
      </c>
      <c r="I11" s="17" t="s">
        <v>22</v>
      </c>
      <c r="J11" s="18" t="n">
        <v>32226.76</v>
      </c>
      <c r="K11" s="19" t="n">
        <v>3.34</v>
      </c>
      <c r="L11" s="15" t="n">
        <f aca="false">F11*K11</f>
        <v>798928</v>
      </c>
      <c r="M11" s="18" t="n">
        <v>0</v>
      </c>
      <c r="N11" s="20" t="n">
        <v>6819185316.4084</v>
      </c>
    </row>
    <row r="12" customFormat="false" ht="14.25" hidden="false" customHeight="false" outlineLevel="0" collapsed="false">
      <c r="A12" s="21" t="n">
        <v>8</v>
      </c>
      <c r="B12" s="22" t="s">
        <v>36</v>
      </c>
      <c r="C12" s="22" t="s">
        <v>37</v>
      </c>
      <c r="D12" s="22" t="s">
        <v>20</v>
      </c>
      <c r="E12" s="23" t="n">
        <v>16483.87</v>
      </c>
      <c r="F12" s="15" t="n">
        <v>89375</v>
      </c>
      <c r="G12" s="24" t="s">
        <v>21</v>
      </c>
      <c r="H12" s="23" t="n">
        <v>0</v>
      </c>
      <c r="I12" s="25" t="s">
        <v>22</v>
      </c>
      <c r="J12" s="26" t="n">
        <v>109107.95</v>
      </c>
      <c r="K12" s="19" t="n">
        <v>4.93</v>
      </c>
      <c r="L12" s="15" t="n">
        <f aca="false">F12*K12</f>
        <v>440618.75</v>
      </c>
      <c r="M12" s="26" t="n">
        <v>0</v>
      </c>
      <c r="N12" s="27" t="n">
        <v>1798521263.7665</v>
      </c>
    </row>
    <row r="13" customFormat="false" ht="14.25" hidden="false" customHeight="false" outlineLevel="0" collapsed="false">
      <c r="A13" s="12" t="n">
        <v>9</v>
      </c>
      <c r="B13" s="13" t="s">
        <v>38</v>
      </c>
      <c r="C13" s="13" t="s">
        <v>39</v>
      </c>
      <c r="D13" s="13" t="s">
        <v>20</v>
      </c>
      <c r="E13" s="14" t="n">
        <v>2</v>
      </c>
      <c r="F13" s="15" t="n">
        <v>0</v>
      </c>
      <c r="G13" s="16" t="s">
        <v>40</v>
      </c>
      <c r="H13" s="14" t="n">
        <v>0</v>
      </c>
      <c r="I13" s="17" t="s">
        <v>22</v>
      </c>
      <c r="J13" s="18" t="n">
        <v>60000</v>
      </c>
      <c r="K13" s="15" t="n">
        <v>0</v>
      </c>
      <c r="L13" s="15" t="n">
        <f aca="false">F13*K13</f>
        <v>0</v>
      </c>
      <c r="M13" s="18" t="n">
        <v>0</v>
      </c>
      <c r="N13" s="20" t="n">
        <v>120000</v>
      </c>
    </row>
    <row r="14" customFormat="false" ht="14.25" hidden="false" customHeight="false" outlineLevel="0" collapsed="false">
      <c r="A14" s="21" t="n">
        <v>10</v>
      </c>
      <c r="B14" s="22" t="s">
        <v>41</v>
      </c>
      <c r="C14" s="22" t="s">
        <v>42</v>
      </c>
      <c r="D14" s="22" t="s">
        <v>20</v>
      </c>
      <c r="E14" s="23" t="n">
        <v>1</v>
      </c>
      <c r="F14" s="15" t="n">
        <v>210.1</v>
      </c>
      <c r="G14" s="24" t="s">
        <v>21</v>
      </c>
      <c r="H14" s="23" t="n">
        <v>0</v>
      </c>
      <c r="I14" s="25" t="s">
        <v>22</v>
      </c>
      <c r="J14" s="26" t="n">
        <v>225</v>
      </c>
      <c r="K14" s="15" t="n">
        <v>202.5</v>
      </c>
      <c r="L14" s="15" t="n">
        <f aca="false">F14*K14</f>
        <v>42545.25</v>
      </c>
      <c r="M14" s="26" t="n">
        <v>0</v>
      </c>
      <c r="N14" s="27" t="n">
        <v>225</v>
      </c>
    </row>
    <row r="15" customFormat="false" ht="14.25" hidden="false" customHeight="false" outlineLevel="0" collapsed="false">
      <c r="A15" s="12" t="n">
        <v>11</v>
      </c>
      <c r="B15" s="13" t="s">
        <v>43</v>
      </c>
      <c r="C15" s="13" t="s">
        <v>44</v>
      </c>
      <c r="D15" s="13" t="s">
        <v>20</v>
      </c>
      <c r="E15" s="14" t="n">
        <v>4776</v>
      </c>
      <c r="F15" s="15" t="n">
        <v>3413.2</v>
      </c>
      <c r="G15" s="16" t="s">
        <v>21</v>
      </c>
      <c r="H15" s="14" t="n">
        <v>0</v>
      </c>
      <c r="I15" s="17" t="s">
        <v>22</v>
      </c>
      <c r="J15" s="18" t="n">
        <v>411.01</v>
      </c>
      <c r="K15" s="15" t="n">
        <v>385.5</v>
      </c>
      <c r="L15" s="15" t="n">
        <f aca="false">F15*K15</f>
        <v>1315788.6</v>
      </c>
      <c r="M15" s="18" t="n">
        <v>0</v>
      </c>
      <c r="N15" s="20" t="n">
        <v>1962983.76</v>
      </c>
    </row>
    <row r="16" customFormat="false" ht="14.25" hidden="false" customHeight="false" outlineLevel="0" collapsed="false">
      <c r="A16" s="21" t="n">
        <v>12</v>
      </c>
      <c r="B16" s="22" t="s">
        <v>45</v>
      </c>
      <c r="C16" s="22" t="s">
        <v>46</v>
      </c>
      <c r="D16" s="22" t="s">
        <v>20</v>
      </c>
      <c r="E16" s="23" t="n">
        <v>101</v>
      </c>
      <c r="F16" s="15" t="n">
        <v>1752.2</v>
      </c>
      <c r="G16" s="24" t="s">
        <v>21</v>
      </c>
      <c r="H16" s="23" t="n">
        <v>0</v>
      </c>
      <c r="I16" s="25" t="s">
        <v>22</v>
      </c>
      <c r="J16" s="26" t="n">
        <v>435</v>
      </c>
      <c r="K16" s="15" t="n">
        <v>391.5</v>
      </c>
      <c r="L16" s="15" t="n">
        <f aca="false">F16*K16</f>
        <v>685986.3</v>
      </c>
      <c r="M16" s="26" t="n">
        <v>0</v>
      </c>
      <c r="N16" s="27" t="n">
        <v>43935</v>
      </c>
    </row>
    <row r="17" customFormat="false" ht="14.25" hidden="false" customHeight="false" outlineLevel="0" collapsed="false">
      <c r="A17" s="12" t="n">
        <v>13</v>
      </c>
      <c r="B17" s="13" t="s">
        <v>47</v>
      </c>
      <c r="C17" s="13" t="s">
        <v>48</v>
      </c>
      <c r="D17" s="13" t="s">
        <v>20</v>
      </c>
      <c r="E17" s="14" t="n">
        <v>1</v>
      </c>
      <c r="F17" s="15" t="n">
        <v>1</v>
      </c>
      <c r="G17" s="16" t="s">
        <v>40</v>
      </c>
      <c r="H17" s="14" t="n">
        <v>0</v>
      </c>
      <c r="I17" s="17" t="s">
        <v>22</v>
      </c>
      <c r="J17" s="18" t="n">
        <v>93000</v>
      </c>
      <c r="K17" s="15" t="n">
        <v>93000</v>
      </c>
      <c r="L17" s="15" t="n">
        <f aca="false">F17*K17</f>
        <v>93000</v>
      </c>
      <c r="M17" s="18" t="n">
        <v>0</v>
      </c>
      <c r="N17" s="20" t="n">
        <v>93000</v>
      </c>
    </row>
    <row r="18" customFormat="false" ht="14.25" hidden="false" customHeight="false" outlineLevel="0" collapsed="false">
      <c r="A18" s="21" t="n">
        <v>14</v>
      </c>
      <c r="B18" s="22" t="s">
        <v>49</v>
      </c>
      <c r="C18" s="22" t="s">
        <v>48</v>
      </c>
      <c r="D18" s="22" t="s">
        <v>20</v>
      </c>
      <c r="E18" s="23" t="n">
        <v>1</v>
      </c>
      <c r="F18" s="15" t="n">
        <v>0</v>
      </c>
      <c r="G18" s="24" t="s">
        <v>50</v>
      </c>
      <c r="H18" s="23" t="n">
        <v>0</v>
      </c>
      <c r="I18" s="25" t="s">
        <v>22</v>
      </c>
      <c r="J18" s="26" t="n">
        <v>93000</v>
      </c>
      <c r="K18" s="15" t="n">
        <v>0</v>
      </c>
      <c r="L18" s="15" t="n">
        <f aca="false">F18*K18</f>
        <v>0</v>
      </c>
      <c r="M18" s="26" t="n">
        <v>0</v>
      </c>
      <c r="N18" s="27" t="n">
        <v>93000</v>
      </c>
    </row>
    <row r="19" customFormat="false" ht="14.25" hidden="false" customHeight="false" outlineLevel="0" collapsed="false">
      <c r="A19" s="12" t="n">
        <v>15</v>
      </c>
      <c r="B19" s="13" t="s">
        <v>51</v>
      </c>
      <c r="C19" s="13" t="s">
        <v>52</v>
      </c>
      <c r="D19" s="13" t="s">
        <v>20</v>
      </c>
      <c r="E19" s="14" t="n">
        <v>5000</v>
      </c>
      <c r="F19" s="15" t="n">
        <v>5300</v>
      </c>
      <c r="G19" s="16" t="s">
        <v>21</v>
      </c>
      <c r="H19" s="14" t="n">
        <v>0</v>
      </c>
      <c r="I19" s="17" t="s">
        <v>22</v>
      </c>
      <c r="J19" s="18" t="n">
        <v>32</v>
      </c>
      <c r="K19" s="15" t="n">
        <v>30.188679245283</v>
      </c>
      <c r="L19" s="15" t="n">
        <f aca="false">F19*K19</f>
        <v>160000</v>
      </c>
      <c r="M19" s="18" t="n">
        <v>0</v>
      </c>
      <c r="N19" s="20" t="n">
        <v>160000</v>
      </c>
    </row>
    <row r="20" customFormat="false" ht="14.25" hidden="false" customHeight="false" outlineLevel="0" collapsed="false">
      <c r="A20" s="21" t="n">
        <v>16</v>
      </c>
      <c r="B20" s="22" t="s">
        <v>53</v>
      </c>
      <c r="C20" s="22" t="s">
        <v>54</v>
      </c>
      <c r="D20" s="22" t="s">
        <v>20</v>
      </c>
      <c r="E20" s="23" t="n">
        <v>1000</v>
      </c>
      <c r="F20" s="15" t="n">
        <v>1071</v>
      </c>
      <c r="G20" s="24" t="s">
        <v>21</v>
      </c>
      <c r="H20" s="23" t="n">
        <v>0</v>
      </c>
      <c r="I20" s="25" t="s">
        <v>22</v>
      </c>
      <c r="J20" s="26" t="n">
        <v>250</v>
      </c>
      <c r="K20" s="15" t="n">
        <v>233.426704014939</v>
      </c>
      <c r="L20" s="15" t="n">
        <f aca="false">F20*K20</f>
        <v>250000</v>
      </c>
      <c r="M20" s="26" t="n">
        <v>0</v>
      </c>
      <c r="N20" s="27" t="n">
        <v>250000</v>
      </c>
    </row>
    <row r="21" customFormat="false" ht="14.25" hidden="false" customHeight="false" outlineLevel="0" collapsed="false">
      <c r="A21" s="12" t="n">
        <v>17</v>
      </c>
      <c r="B21" s="13" t="s">
        <v>55</v>
      </c>
      <c r="C21" s="13" t="s">
        <v>56</v>
      </c>
      <c r="D21" s="13" t="s">
        <v>20</v>
      </c>
      <c r="E21" s="14" t="n">
        <v>5000</v>
      </c>
      <c r="F21" s="15" t="n">
        <v>5300</v>
      </c>
      <c r="G21" s="16" t="s">
        <v>21</v>
      </c>
      <c r="H21" s="14" t="n">
        <v>0</v>
      </c>
      <c r="I21" s="17" t="s">
        <v>22</v>
      </c>
      <c r="J21" s="18" t="n">
        <v>40</v>
      </c>
      <c r="K21" s="15" t="n">
        <v>37.7358490566038</v>
      </c>
      <c r="L21" s="15" t="n">
        <f aca="false">F21*K21</f>
        <v>200000</v>
      </c>
      <c r="M21" s="18" t="n">
        <v>0</v>
      </c>
      <c r="N21" s="20" t="n">
        <v>200000</v>
      </c>
    </row>
    <row r="22" customFormat="false" ht="14.25" hidden="false" customHeight="false" outlineLevel="0" collapsed="false">
      <c r="A22" s="21" t="n">
        <v>18</v>
      </c>
      <c r="B22" s="22" t="s">
        <v>57</v>
      </c>
      <c r="C22" s="22" t="s">
        <v>58</v>
      </c>
      <c r="D22" s="22" t="s">
        <v>20</v>
      </c>
      <c r="E22" s="23" t="n">
        <v>17814</v>
      </c>
      <c r="F22" s="15" t="n">
        <v>10230</v>
      </c>
      <c r="G22" s="24" t="s">
        <v>21</v>
      </c>
      <c r="H22" s="23" t="n">
        <v>0</v>
      </c>
      <c r="I22" s="25" t="s">
        <v>22</v>
      </c>
      <c r="J22" s="26" t="n">
        <v>227.92</v>
      </c>
      <c r="K22" s="15" t="n">
        <v>200.046811000585</v>
      </c>
      <c r="L22" s="15" t="n">
        <f aca="false">F22*K22</f>
        <v>2046478.87653599</v>
      </c>
      <c r="M22" s="26" t="n">
        <v>0</v>
      </c>
      <c r="N22" s="27" t="n">
        <v>4060166.88</v>
      </c>
    </row>
    <row r="23" customFormat="false" ht="14.25" hidden="false" customHeight="false" outlineLevel="0" collapsed="false">
      <c r="A23" s="12" t="n">
        <v>19</v>
      </c>
      <c r="B23" s="13" t="s">
        <v>59</v>
      </c>
      <c r="C23" s="13" t="s">
        <v>60</v>
      </c>
      <c r="D23" s="13" t="s">
        <v>20</v>
      </c>
      <c r="E23" s="14" t="n">
        <v>42932.9</v>
      </c>
      <c r="F23" s="15" t="n">
        <v>13968</v>
      </c>
      <c r="G23" s="16" t="s">
        <v>21</v>
      </c>
      <c r="H23" s="14" t="n">
        <v>0</v>
      </c>
      <c r="I23" s="17" t="s">
        <v>22</v>
      </c>
      <c r="J23" s="18" t="n">
        <v>202.94</v>
      </c>
      <c r="K23" s="15" t="n">
        <v>160.20618556701</v>
      </c>
      <c r="L23" s="15" t="n">
        <f aca="false">F23*K23</f>
        <v>2237760</v>
      </c>
      <c r="M23" s="18" t="n">
        <v>0</v>
      </c>
      <c r="N23" s="20" t="n">
        <v>8712802.726</v>
      </c>
    </row>
    <row r="24" customFormat="false" ht="14.25" hidden="false" customHeight="false" outlineLevel="0" collapsed="false">
      <c r="A24" s="21" t="n">
        <v>20</v>
      </c>
      <c r="B24" s="22" t="s">
        <v>61</v>
      </c>
      <c r="C24" s="22" t="s">
        <v>62</v>
      </c>
      <c r="D24" s="22" t="s">
        <v>63</v>
      </c>
      <c r="E24" s="23" t="n">
        <v>65</v>
      </c>
      <c r="F24" s="15" t="n">
        <v>119</v>
      </c>
      <c r="G24" s="24" t="s">
        <v>50</v>
      </c>
      <c r="H24" s="23" t="n">
        <v>0</v>
      </c>
      <c r="I24" s="25" t="s">
        <v>22</v>
      </c>
      <c r="J24" s="26" t="n">
        <v>15000</v>
      </c>
      <c r="K24" s="15" t="n">
        <v>130.434782608696</v>
      </c>
      <c r="L24" s="15" t="n">
        <f aca="false">F24*K24</f>
        <v>15521.7391304348</v>
      </c>
      <c r="M24" s="26" t="n">
        <v>0</v>
      </c>
      <c r="N24" s="27" t="n">
        <v>975000</v>
      </c>
    </row>
    <row r="25" customFormat="false" ht="14.25" hidden="false" customHeight="false" outlineLevel="0" collapsed="false">
      <c r="A25" s="12" t="n">
        <v>21</v>
      </c>
      <c r="B25" s="13" t="s">
        <v>64</v>
      </c>
      <c r="C25" s="13" t="s">
        <v>65</v>
      </c>
      <c r="D25" s="13" t="s">
        <v>63</v>
      </c>
      <c r="E25" s="14" t="n">
        <v>3</v>
      </c>
      <c r="F25" s="15" t="n">
        <v>100</v>
      </c>
      <c r="G25" s="16" t="s">
        <v>50</v>
      </c>
      <c r="H25" s="14" t="n">
        <v>0</v>
      </c>
      <c r="I25" s="17" t="s">
        <v>22</v>
      </c>
      <c r="J25" s="18" t="n">
        <v>30000</v>
      </c>
      <c r="K25" s="19" t="n">
        <v>300</v>
      </c>
      <c r="L25" s="15" t="n">
        <f aca="false">F25*K25</f>
        <v>30000</v>
      </c>
      <c r="M25" s="18" t="n">
        <v>0</v>
      </c>
      <c r="N25" s="20" t="n">
        <v>90000</v>
      </c>
    </row>
    <row r="26" customFormat="false" ht="14.25" hidden="false" customHeight="false" outlineLevel="0" collapsed="false">
      <c r="A26" s="21" t="n">
        <v>22</v>
      </c>
      <c r="B26" s="22" t="s">
        <v>66</v>
      </c>
      <c r="C26" s="22" t="s">
        <v>67</v>
      </c>
      <c r="D26" s="22" t="s">
        <v>63</v>
      </c>
      <c r="E26" s="23" t="n">
        <v>5</v>
      </c>
      <c r="F26" s="15" t="n">
        <v>3</v>
      </c>
      <c r="G26" s="24" t="s">
        <v>50</v>
      </c>
      <c r="H26" s="23" t="n">
        <v>0</v>
      </c>
      <c r="I26" s="25" t="s">
        <v>22</v>
      </c>
      <c r="J26" s="26" t="n">
        <v>0</v>
      </c>
      <c r="K26" s="19" t="n">
        <v>0</v>
      </c>
      <c r="L26" s="15" t="n">
        <f aca="false">F26*K26</f>
        <v>0</v>
      </c>
      <c r="M26" s="26" t="n">
        <v>0</v>
      </c>
      <c r="N26" s="27" t="n">
        <v>0</v>
      </c>
    </row>
    <row r="27" customFormat="false" ht="14.25" hidden="false" customHeight="false" outlineLevel="0" collapsed="false">
      <c r="A27" s="12" t="n">
        <v>23</v>
      </c>
      <c r="B27" s="13" t="s">
        <v>68</v>
      </c>
      <c r="C27" s="13" t="s">
        <v>69</v>
      </c>
      <c r="D27" s="13" t="s">
        <v>63</v>
      </c>
      <c r="E27" s="14" t="n">
        <v>5</v>
      </c>
      <c r="F27" s="15" t="n">
        <v>5</v>
      </c>
      <c r="G27" s="16" t="s">
        <v>50</v>
      </c>
      <c r="H27" s="14" t="n">
        <v>0</v>
      </c>
      <c r="I27" s="17" t="s">
        <v>22</v>
      </c>
      <c r="J27" s="18" t="n">
        <v>0</v>
      </c>
      <c r="K27" s="19" t="n">
        <v>0</v>
      </c>
      <c r="L27" s="15" t="n">
        <f aca="false">F27*K27</f>
        <v>0</v>
      </c>
      <c r="M27" s="18" t="n">
        <v>0</v>
      </c>
      <c r="N27" s="20" t="n">
        <v>0</v>
      </c>
    </row>
    <row r="28" customFormat="false" ht="14.25" hidden="false" customHeight="false" outlineLevel="0" collapsed="false">
      <c r="A28" s="21" t="n">
        <v>24</v>
      </c>
      <c r="B28" s="22" t="s">
        <v>70</v>
      </c>
      <c r="C28" s="22" t="s">
        <v>71</v>
      </c>
      <c r="D28" s="22" t="s">
        <v>63</v>
      </c>
      <c r="E28" s="23" t="n">
        <v>160</v>
      </c>
      <c r="F28" s="15" t="n">
        <v>0</v>
      </c>
      <c r="G28" s="24" t="s">
        <v>50</v>
      </c>
      <c r="H28" s="23" t="n">
        <v>0</v>
      </c>
      <c r="I28" s="25" t="s">
        <v>22</v>
      </c>
      <c r="J28" s="26" t="n">
        <v>7665.19</v>
      </c>
      <c r="K28" s="15" t="n">
        <v>0</v>
      </c>
      <c r="L28" s="15" t="n">
        <f aca="false">F28*K28</f>
        <v>0</v>
      </c>
      <c r="M28" s="26" t="n">
        <v>0</v>
      </c>
      <c r="N28" s="27" t="n">
        <v>1226430.4</v>
      </c>
    </row>
    <row r="29" customFormat="false" ht="14.25" hidden="false" customHeight="false" outlineLevel="0" collapsed="false">
      <c r="A29" s="12" t="n">
        <v>25</v>
      </c>
      <c r="B29" s="13" t="s">
        <v>72</v>
      </c>
      <c r="C29" s="13" t="s">
        <v>73</v>
      </c>
      <c r="D29" s="13" t="s">
        <v>63</v>
      </c>
      <c r="E29" s="14" t="n">
        <v>72.02</v>
      </c>
      <c r="F29" s="15" t="n">
        <v>47</v>
      </c>
      <c r="G29" s="16" t="s">
        <v>50</v>
      </c>
      <c r="H29" s="14" t="n">
        <v>0</v>
      </c>
      <c r="I29" s="17" t="s">
        <v>22</v>
      </c>
      <c r="J29" s="18" t="n">
        <v>10186.44</v>
      </c>
      <c r="K29" s="19" t="n">
        <v>10203</v>
      </c>
      <c r="L29" s="15" t="n">
        <f aca="false">F29*K29</f>
        <v>479541</v>
      </c>
      <c r="M29" s="18" t="n">
        <v>0</v>
      </c>
      <c r="N29" s="20" t="n">
        <v>733627.4088</v>
      </c>
    </row>
    <row r="30" customFormat="false" ht="14.25" hidden="false" customHeight="false" outlineLevel="0" collapsed="false">
      <c r="A30" s="21" t="n">
        <v>26</v>
      </c>
      <c r="B30" s="22" t="s">
        <v>74</v>
      </c>
      <c r="C30" s="22" t="s">
        <v>75</v>
      </c>
      <c r="D30" s="22" t="s">
        <v>63</v>
      </c>
      <c r="E30" s="23" t="n">
        <v>122.53</v>
      </c>
      <c r="F30" s="15" t="n">
        <v>1</v>
      </c>
      <c r="G30" s="24" t="s">
        <v>50</v>
      </c>
      <c r="H30" s="23" t="n">
        <v>0</v>
      </c>
      <c r="I30" s="25" t="s">
        <v>22</v>
      </c>
      <c r="J30" s="26" t="n">
        <v>45000</v>
      </c>
      <c r="K30" s="19" t="n">
        <v>45000</v>
      </c>
      <c r="L30" s="15" t="n">
        <f aca="false">F30*K30</f>
        <v>45000</v>
      </c>
      <c r="M30" s="26" t="n">
        <v>0</v>
      </c>
      <c r="N30" s="27" t="n">
        <v>5513850</v>
      </c>
    </row>
    <row r="31" customFormat="false" ht="14.25" hidden="false" customHeight="false" outlineLevel="0" collapsed="false">
      <c r="A31" s="28" t="n">
        <v>27</v>
      </c>
      <c r="B31" s="29" t="s">
        <v>76</v>
      </c>
      <c r="C31" s="29" t="s">
        <v>77</v>
      </c>
      <c r="D31" s="29" t="s">
        <v>63</v>
      </c>
      <c r="E31" s="30" t="n">
        <v>0</v>
      </c>
      <c r="F31" s="15" t="n">
        <v>0</v>
      </c>
      <c r="G31" s="31" t="s">
        <v>78</v>
      </c>
      <c r="H31" s="30" t="n">
        <v>0</v>
      </c>
      <c r="I31" s="32" t="s">
        <v>29</v>
      </c>
      <c r="J31" s="33" t="n">
        <v>18000</v>
      </c>
      <c r="K31" s="15" t="n">
        <v>0</v>
      </c>
      <c r="L31" s="15" t="n">
        <f aca="false">F31*K31</f>
        <v>0</v>
      </c>
      <c r="M31" s="33" t="n">
        <v>0</v>
      </c>
      <c r="N31" s="34" t="n">
        <v>0</v>
      </c>
    </row>
    <row r="32" customFormat="false" ht="14.25" hidden="false" customHeight="false" outlineLevel="0" collapsed="false">
      <c r="A32" s="28" t="n">
        <v>28</v>
      </c>
      <c r="B32" s="29" t="s">
        <v>79</v>
      </c>
      <c r="C32" s="29" t="s">
        <v>80</v>
      </c>
      <c r="D32" s="29" t="s">
        <v>63</v>
      </c>
      <c r="E32" s="30" t="n">
        <v>0</v>
      </c>
      <c r="F32" s="15" t="n">
        <v>6</v>
      </c>
      <c r="G32" s="31" t="s">
        <v>81</v>
      </c>
      <c r="H32" s="30" t="n">
        <v>0</v>
      </c>
      <c r="I32" s="32" t="s">
        <v>29</v>
      </c>
      <c r="J32" s="33" t="n">
        <v>6850</v>
      </c>
      <c r="K32" s="19" t="n">
        <v>6550</v>
      </c>
      <c r="L32" s="15" t="n">
        <f aca="false">F32*K32</f>
        <v>39300</v>
      </c>
      <c r="M32" s="33" t="n">
        <v>0</v>
      </c>
      <c r="N32" s="34" t="n">
        <v>0</v>
      </c>
    </row>
    <row r="33" customFormat="false" ht="14.25" hidden="false" customHeight="false" outlineLevel="0" collapsed="false">
      <c r="A33" s="12" t="n">
        <v>29</v>
      </c>
      <c r="B33" s="13" t="s">
        <v>82</v>
      </c>
      <c r="C33" s="13" t="s">
        <v>83</v>
      </c>
      <c r="D33" s="13" t="s">
        <v>63</v>
      </c>
      <c r="E33" s="14" t="n">
        <v>91</v>
      </c>
      <c r="F33" s="15" t="n">
        <v>88</v>
      </c>
      <c r="G33" s="16" t="s">
        <v>81</v>
      </c>
      <c r="H33" s="14" t="n">
        <v>0</v>
      </c>
      <c r="I33" s="17" t="s">
        <v>22</v>
      </c>
      <c r="J33" s="18" t="n">
        <v>4669.27</v>
      </c>
      <c r="K33" s="19" t="n">
        <v>5525</v>
      </c>
      <c r="L33" s="15" t="n">
        <f aca="false">F33*K33</f>
        <v>486200</v>
      </c>
      <c r="M33" s="18" t="n">
        <v>0</v>
      </c>
      <c r="N33" s="20" t="n">
        <v>424903.57</v>
      </c>
    </row>
    <row r="34" customFormat="false" ht="14.25" hidden="false" customHeight="false" outlineLevel="0" collapsed="false">
      <c r="A34" s="21" t="n">
        <v>30</v>
      </c>
      <c r="B34" s="22" t="s">
        <v>84</v>
      </c>
      <c r="C34" s="22" t="s">
        <v>85</v>
      </c>
      <c r="D34" s="22" t="s">
        <v>63</v>
      </c>
      <c r="E34" s="23" t="n">
        <v>44</v>
      </c>
      <c r="F34" s="15" t="n">
        <v>0</v>
      </c>
      <c r="G34" s="24" t="s">
        <v>81</v>
      </c>
      <c r="H34" s="23" t="n">
        <v>0</v>
      </c>
      <c r="I34" s="25" t="s">
        <v>22</v>
      </c>
      <c r="J34" s="26" t="n">
        <v>6510.32</v>
      </c>
      <c r="K34" s="15" t="n">
        <v>0</v>
      </c>
      <c r="L34" s="15" t="n">
        <f aca="false">F34*K34</f>
        <v>0</v>
      </c>
      <c r="M34" s="26" t="n">
        <v>0</v>
      </c>
      <c r="N34" s="27" t="n">
        <v>286454.08</v>
      </c>
    </row>
    <row r="35" customFormat="false" ht="14.25" hidden="false" customHeight="false" outlineLevel="0" collapsed="false">
      <c r="A35" s="12" t="n">
        <v>31</v>
      </c>
      <c r="B35" s="13" t="s">
        <v>86</v>
      </c>
      <c r="C35" s="13" t="s">
        <v>87</v>
      </c>
      <c r="D35" s="13" t="s">
        <v>63</v>
      </c>
      <c r="E35" s="14" t="n">
        <v>47.5</v>
      </c>
      <c r="F35" s="15" t="n">
        <v>36</v>
      </c>
      <c r="G35" s="16" t="s">
        <v>81</v>
      </c>
      <c r="H35" s="14" t="n">
        <v>0</v>
      </c>
      <c r="I35" s="17" t="s">
        <v>22</v>
      </c>
      <c r="J35" s="18" t="n">
        <v>6511.54</v>
      </c>
      <c r="K35" s="19" t="n">
        <v>6525</v>
      </c>
      <c r="L35" s="15" t="n">
        <f aca="false">F35*K35</f>
        <v>234900</v>
      </c>
      <c r="M35" s="18" t="n">
        <v>0</v>
      </c>
      <c r="N35" s="20" t="n">
        <v>309298.15</v>
      </c>
    </row>
    <row r="36" customFormat="false" ht="14.25" hidden="false" customHeight="false" outlineLevel="0" collapsed="false">
      <c r="A36" s="21" t="n">
        <v>32</v>
      </c>
      <c r="B36" s="22" t="s">
        <v>88</v>
      </c>
      <c r="C36" s="22" t="s">
        <v>89</v>
      </c>
      <c r="D36" s="22" t="s">
        <v>63</v>
      </c>
      <c r="E36" s="23" t="n">
        <v>78.75</v>
      </c>
      <c r="F36" s="15" t="n">
        <v>25</v>
      </c>
      <c r="G36" s="24" t="s">
        <v>81</v>
      </c>
      <c r="H36" s="23" t="n">
        <v>0</v>
      </c>
      <c r="I36" s="25" t="s">
        <v>22</v>
      </c>
      <c r="J36" s="26" t="n">
        <v>4767.39</v>
      </c>
      <c r="K36" s="19" t="n">
        <v>5525</v>
      </c>
      <c r="L36" s="15" t="n">
        <f aca="false">F36*K36</f>
        <v>138125</v>
      </c>
      <c r="M36" s="26" t="n">
        <v>0</v>
      </c>
      <c r="N36" s="27" t="n">
        <v>375431.9625</v>
      </c>
    </row>
    <row r="37" customFormat="false" ht="14.25" hidden="false" customHeight="false" outlineLevel="0" collapsed="false">
      <c r="A37" s="12" t="n">
        <v>33</v>
      </c>
      <c r="B37" s="13" t="s">
        <v>90</v>
      </c>
      <c r="C37" s="13" t="s">
        <v>91</v>
      </c>
      <c r="D37" s="13" t="s">
        <v>63</v>
      </c>
      <c r="E37" s="14" t="n">
        <v>38.5</v>
      </c>
      <c r="F37" s="15" t="n">
        <v>25</v>
      </c>
      <c r="G37" s="16" t="s">
        <v>81</v>
      </c>
      <c r="H37" s="14" t="n">
        <v>0</v>
      </c>
      <c r="I37" s="17" t="s">
        <v>22</v>
      </c>
      <c r="J37" s="18" t="n">
        <v>6510.63</v>
      </c>
      <c r="K37" s="19" t="n">
        <v>6525</v>
      </c>
      <c r="L37" s="15" t="n">
        <f aca="false">F37*K37</f>
        <v>163125</v>
      </c>
      <c r="M37" s="18" t="n">
        <v>0</v>
      </c>
      <c r="N37" s="20" t="n">
        <v>250659.255</v>
      </c>
    </row>
    <row r="38" customFormat="false" ht="14.25" hidden="false" customHeight="false" outlineLevel="0" collapsed="false">
      <c r="A38" s="21" t="n">
        <v>34</v>
      </c>
      <c r="B38" s="22" t="s">
        <v>92</v>
      </c>
      <c r="C38" s="22" t="s">
        <v>93</v>
      </c>
      <c r="D38" s="22" t="s">
        <v>63</v>
      </c>
      <c r="E38" s="23" t="n">
        <v>83</v>
      </c>
      <c r="F38" s="15" t="n">
        <v>69</v>
      </c>
      <c r="G38" s="24" t="s">
        <v>81</v>
      </c>
      <c r="H38" s="23" t="n">
        <v>0</v>
      </c>
      <c r="I38" s="25" t="s">
        <v>22</v>
      </c>
      <c r="J38" s="26" t="n">
        <v>5986.36</v>
      </c>
      <c r="K38" s="19" t="n">
        <v>6825</v>
      </c>
      <c r="L38" s="15" t="n">
        <f aca="false">F38*K38</f>
        <v>470925</v>
      </c>
      <c r="M38" s="26" t="n">
        <v>0</v>
      </c>
      <c r="N38" s="27" t="n">
        <v>496867.88</v>
      </c>
    </row>
    <row r="39" customFormat="false" ht="14.25" hidden="false" customHeight="false" outlineLevel="0" collapsed="false">
      <c r="A39" s="12" t="n">
        <v>35</v>
      </c>
      <c r="B39" s="13" t="s">
        <v>94</v>
      </c>
      <c r="C39" s="13" t="s">
        <v>95</v>
      </c>
      <c r="D39" s="13" t="s">
        <v>63</v>
      </c>
      <c r="E39" s="14" t="n">
        <v>93.5</v>
      </c>
      <c r="F39" s="15" t="n">
        <v>8</v>
      </c>
      <c r="G39" s="16" t="s">
        <v>81</v>
      </c>
      <c r="H39" s="14" t="n">
        <v>0</v>
      </c>
      <c r="I39" s="17" t="s">
        <v>22</v>
      </c>
      <c r="J39" s="18" t="n">
        <v>6120.04</v>
      </c>
      <c r="K39" s="19" t="n">
        <v>6825</v>
      </c>
      <c r="L39" s="15" t="n">
        <f aca="false">F39*K39</f>
        <v>54600</v>
      </c>
      <c r="M39" s="18" t="n">
        <v>0</v>
      </c>
      <c r="N39" s="20" t="n">
        <v>572223.74</v>
      </c>
    </row>
    <row r="40" customFormat="false" ht="14.25" hidden="false" customHeight="false" outlineLevel="0" collapsed="false">
      <c r="A40" s="21" t="n">
        <v>36</v>
      </c>
      <c r="B40" s="22" t="s">
        <v>96</v>
      </c>
      <c r="C40" s="22" t="s">
        <v>97</v>
      </c>
      <c r="D40" s="22" t="s">
        <v>63</v>
      </c>
      <c r="E40" s="23" t="n">
        <v>71.75</v>
      </c>
      <c r="F40" s="15" t="n">
        <v>4</v>
      </c>
      <c r="G40" s="24" t="s">
        <v>81</v>
      </c>
      <c r="H40" s="23" t="n">
        <v>0</v>
      </c>
      <c r="I40" s="25" t="s">
        <v>22</v>
      </c>
      <c r="J40" s="26" t="n">
        <v>6067.39</v>
      </c>
      <c r="K40" s="19" t="n">
        <v>6825</v>
      </c>
      <c r="L40" s="15" t="n">
        <f aca="false">F40*K40</f>
        <v>27300</v>
      </c>
      <c r="M40" s="26" t="n">
        <v>0</v>
      </c>
      <c r="N40" s="27" t="n">
        <v>435335.2325</v>
      </c>
    </row>
    <row r="41" customFormat="false" ht="14.25" hidden="false" customHeight="false" outlineLevel="0" collapsed="false">
      <c r="A41" s="12" t="n">
        <v>37</v>
      </c>
      <c r="B41" s="13" t="s">
        <v>98</v>
      </c>
      <c r="C41" s="13" t="s">
        <v>99</v>
      </c>
      <c r="D41" s="13" t="s">
        <v>63</v>
      </c>
      <c r="E41" s="14" t="n">
        <v>10</v>
      </c>
      <c r="F41" s="15" t="n">
        <v>0</v>
      </c>
      <c r="G41" s="16" t="s">
        <v>81</v>
      </c>
      <c r="H41" s="14" t="n">
        <v>0</v>
      </c>
      <c r="I41" s="17" t="s">
        <v>22</v>
      </c>
      <c r="J41" s="18" t="n">
        <v>8000</v>
      </c>
      <c r="K41" s="15" t="n">
        <v>0</v>
      </c>
      <c r="L41" s="15" t="n">
        <f aca="false">F41*K41</f>
        <v>0</v>
      </c>
      <c r="M41" s="18" t="n">
        <v>0</v>
      </c>
      <c r="N41" s="20" t="n">
        <v>80000</v>
      </c>
    </row>
    <row r="42" customFormat="false" ht="14.25" hidden="false" customHeight="false" outlineLevel="0" collapsed="false">
      <c r="A42" s="28" t="n">
        <v>38</v>
      </c>
      <c r="B42" s="29" t="s">
        <v>100</v>
      </c>
      <c r="C42" s="29" t="s">
        <v>101</v>
      </c>
      <c r="D42" s="29" t="s">
        <v>63</v>
      </c>
      <c r="E42" s="30" t="n">
        <v>0</v>
      </c>
      <c r="F42" s="15" t="n">
        <v>0</v>
      </c>
      <c r="G42" s="31" t="s">
        <v>81</v>
      </c>
      <c r="H42" s="30" t="n">
        <v>0</v>
      </c>
      <c r="I42" s="32" t="s">
        <v>29</v>
      </c>
      <c r="J42" s="33" t="n">
        <v>6000</v>
      </c>
      <c r="K42" s="15" t="n">
        <v>0</v>
      </c>
      <c r="L42" s="15" t="n">
        <f aca="false">F42*K42</f>
        <v>0</v>
      </c>
      <c r="M42" s="33" t="n">
        <v>0</v>
      </c>
      <c r="N42" s="34" t="n">
        <v>0</v>
      </c>
    </row>
    <row r="43" customFormat="false" ht="14.25" hidden="false" customHeight="false" outlineLevel="0" collapsed="false">
      <c r="A43" s="12" t="n">
        <v>39</v>
      </c>
      <c r="B43" s="13" t="s">
        <v>102</v>
      </c>
      <c r="C43" s="13" t="s">
        <v>103</v>
      </c>
      <c r="D43" s="13" t="s">
        <v>63</v>
      </c>
      <c r="E43" s="14" t="n">
        <v>5</v>
      </c>
      <c r="F43" s="15" t="n">
        <v>0</v>
      </c>
      <c r="G43" s="16" t="s">
        <v>50</v>
      </c>
      <c r="H43" s="14" t="n">
        <v>0</v>
      </c>
      <c r="I43" s="17" t="s">
        <v>22</v>
      </c>
      <c r="J43" s="18" t="n">
        <v>8000</v>
      </c>
      <c r="K43" s="15" t="n">
        <v>8000</v>
      </c>
      <c r="L43" s="15" t="n">
        <f aca="false">F43*K43</f>
        <v>0</v>
      </c>
      <c r="M43" s="18" t="n">
        <v>0</v>
      </c>
      <c r="N43" s="20" t="n">
        <v>40000</v>
      </c>
    </row>
    <row r="44" customFormat="false" ht="14.25" hidden="false" customHeight="false" outlineLevel="0" collapsed="false">
      <c r="A44" s="21" t="n">
        <v>40</v>
      </c>
      <c r="B44" s="22" t="s">
        <v>104</v>
      </c>
      <c r="C44" s="22" t="s">
        <v>105</v>
      </c>
      <c r="D44" s="22" t="s">
        <v>63</v>
      </c>
      <c r="E44" s="23" t="n">
        <v>2</v>
      </c>
      <c r="F44" s="15" t="n">
        <v>1</v>
      </c>
      <c r="G44" s="24" t="s">
        <v>50</v>
      </c>
      <c r="H44" s="23" t="n">
        <v>0</v>
      </c>
      <c r="I44" s="25" t="s">
        <v>22</v>
      </c>
      <c r="J44" s="26" t="n">
        <v>61208</v>
      </c>
      <c r="K44" s="15" t="n">
        <v>58000</v>
      </c>
      <c r="L44" s="15" t="n">
        <f aca="false">F44*K44</f>
        <v>58000</v>
      </c>
      <c r="M44" s="26" t="n">
        <v>0</v>
      </c>
      <c r="N44" s="27" t="n">
        <v>122416</v>
      </c>
    </row>
    <row r="45" customFormat="false" ht="14.25" hidden="false" customHeight="false" outlineLevel="0" collapsed="false">
      <c r="A45" s="12" t="n">
        <v>41</v>
      </c>
      <c r="B45" s="13" t="s">
        <v>106</v>
      </c>
      <c r="C45" s="13" t="s">
        <v>107</v>
      </c>
      <c r="D45" s="13" t="s">
        <v>63</v>
      </c>
      <c r="E45" s="14" t="n">
        <v>9</v>
      </c>
      <c r="F45" s="15" t="n">
        <v>5</v>
      </c>
      <c r="G45" s="16" t="s">
        <v>50</v>
      </c>
      <c r="H45" s="14" t="n">
        <v>0</v>
      </c>
      <c r="I45" s="17" t="s">
        <v>22</v>
      </c>
      <c r="J45" s="18" t="n">
        <v>57000</v>
      </c>
      <c r="K45" s="19" t="n">
        <v>57000</v>
      </c>
      <c r="L45" s="15" t="n">
        <f aca="false">F45*K45</f>
        <v>285000</v>
      </c>
      <c r="M45" s="18" t="n">
        <v>0</v>
      </c>
      <c r="N45" s="20" t="n">
        <v>513000</v>
      </c>
    </row>
    <row r="46" customFormat="false" ht="14.25" hidden="false" customHeight="false" outlineLevel="0" collapsed="false">
      <c r="A46" s="21" t="n">
        <v>42</v>
      </c>
      <c r="B46" s="22" t="s">
        <v>108</v>
      </c>
      <c r="C46" s="22" t="s">
        <v>109</v>
      </c>
      <c r="D46" s="22" t="s">
        <v>63</v>
      </c>
      <c r="E46" s="23" t="n">
        <v>5</v>
      </c>
      <c r="F46" s="15" t="n">
        <v>1</v>
      </c>
      <c r="G46" s="24" t="s">
        <v>50</v>
      </c>
      <c r="H46" s="23" t="n">
        <v>0</v>
      </c>
      <c r="I46" s="25" t="s">
        <v>22</v>
      </c>
      <c r="J46" s="26" t="n">
        <v>27000</v>
      </c>
      <c r="K46" s="19" t="n">
        <v>27000</v>
      </c>
      <c r="L46" s="15" t="n">
        <f aca="false">F46*K46</f>
        <v>27000</v>
      </c>
      <c r="M46" s="26" t="n">
        <v>0</v>
      </c>
      <c r="N46" s="27" t="n">
        <v>135000</v>
      </c>
    </row>
    <row r="47" customFormat="false" ht="14.25" hidden="false" customHeight="false" outlineLevel="0" collapsed="false">
      <c r="A47" s="12" t="n">
        <v>43</v>
      </c>
      <c r="B47" s="13" t="s">
        <v>110</v>
      </c>
      <c r="C47" s="13" t="s">
        <v>111</v>
      </c>
      <c r="D47" s="13" t="s">
        <v>63</v>
      </c>
      <c r="E47" s="14" t="n">
        <v>5</v>
      </c>
      <c r="F47" s="15" t="n">
        <v>1</v>
      </c>
      <c r="G47" s="16" t="s">
        <v>50</v>
      </c>
      <c r="H47" s="14" t="n">
        <v>0</v>
      </c>
      <c r="I47" s="17" t="s">
        <v>22</v>
      </c>
      <c r="J47" s="18" t="n">
        <v>22000</v>
      </c>
      <c r="K47" s="15" t="n">
        <v>14000</v>
      </c>
      <c r="L47" s="15" t="n">
        <f aca="false">F47*K47</f>
        <v>14000</v>
      </c>
      <c r="M47" s="18" t="n">
        <v>0</v>
      </c>
      <c r="N47" s="20" t="n">
        <v>110000</v>
      </c>
    </row>
    <row r="48" customFormat="false" ht="14.25" hidden="false" customHeight="false" outlineLevel="0" collapsed="false">
      <c r="A48" s="21" t="n">
        <v>44</v>
      </c>
      <c r="B48" s="22" t="s">
        <v>112</v>
      </c>
      <c r="C48" s="22" t="s">
        <v>113</v>
      </c>
      <c r="D48" s="22" t="s">
        <v>63</v>
      </c>
      <c r="E48" s="23" t="n">
        <v>1</v>
      </c>
      <c r="F48" s="15" t="n">
        <v>20</v>
      </c>
      <c r="G48" s="24" t="s">
        <v>50</v>
      </c>
      <c r="H48" s="23" t="n">
        <v>0</v>
      </c>
      <c r="I48" s="25" t="s">
        <v>22</v>
      </c>
      <c r="J48" s="26" t="n">
        <v>50000</v>
      </c>
      <c r="K48" s="19" t="n">
        <v>57720</v>
      </c>
      <c r="L48" s="15" t="n">
        <f aca="false">F48*K48</f>
        <v>1154400</v>
      </c>
      <c r="M48" s="26" t="n">
        <v>0</v>
      </c>
      <c r="N48" s="27" t="n">
        <v>50000</v>
      </c>
    </row>
    <row r="49" customFormat="false" ht="14.25" hidden="false" customHeight="false" outlineLevel="0" collapsed="false">
      <c r="A49" s="12" t="n">
        <v>45</v>
      </c>
      <c r="B49" s="13" t="s">
        <v>114</v>
      </c>
      <c r="C49" s="13" t="s">
        <v>115</v>
      </c>
      <c r="D49" s="13" t="s">
        <v>63</v>
      </c>
      <c r="E49" s="14" t="n">
        <v>5</v>
      </c>
      <c r="F49" s="15" t="n">
        <v>3</v>
      </c>
      <c r="G49" s="16" t="s">
        <v>116</v>
      </c>
      <c r="H49" s="14" t="n">
        <v>0</v>
      </c>
      <c r="I49" s="17" t="s">
        <v>22</v>
      </c>
      <c r="J49" s="18" t="n">
        <v>15000</v>
      </c>
      <c r="K49" s="19" t="n">
        <v>15000</v>
      </c>
      <c r="L49" s="15" t="n">
        <f aca="false">F49*K49</f>
        <v>45000</v>
      </c>
      <c r="M49" s="18" t="n">
        <v>0</v>
      </c>
      <c r="N49" s="20" t="n">
        <v>75000</v>
      </c>
    </row>
    <row r="50" customFormat="false" ht="14.25" hidden="false" customHeight="false" outlineLevel="0" collapsed="false">
      <c r="A50" s="21" t="n">
        <v>46</v>
      </c>
      <c r="B50" s="22" t="s">
        <v>117</v>
      </c>
      <c r="C50" s="22" t="s">
        <v>118</v>
      </c>
      <c r="D50" s="22" t="s">
        <v>63</v>
      </c>
      <c r="E50" s="23" t="n">
        <v>10</v>
      </c>
      <c r="F50" s="15" t="n">
        <v>19</v>
      </c>
      <c r="G50" s="24" t="s">
        <v>50</v>
      </c>
      <c r="H50" s="23" t="n">
        <v>0</v>
      </c>
      <c r="I50" s="25" t="s">
        <v>22</v>
      </c>
      <c r="J50" s="26" t="n">
        <v>54810</v>
      </c>
      <c r="K50" s="19" t="n">
        <v>8357.25</v>
      </c>
      <c r="L50" s="15" t="n">
        <f aca="false">F50*K50</f>
        <v>158787.75</v>
      </c>
      <c r="M50" s="26" t="n">
        <v>0</v>
      </c>
      <c r="N50" s="27" t="n">
        <v>548100</v>
      </c>
    </row>
    <row r="51" customFormat="false" ht="14.25" hidden="false" customHeight="false" outlineLevel="0" collapsed="false">
      <c r="A51" s="12" t="n">
        <v>47</v>
      </c>
      <c r="B51" s="13" t="s">
        <v>119</v>
      </c>
      <c r="C51" s="13" t="s">
        <v>120</v>
      </c>
      <c r="D51" s="13" t="s">
        <v>63</v>
      </c>
      <c r="E51" s="14" t="n">
        <v>20</v>
      </c>
      <c r="F51" s="15" t="n">
        <v>0</v>
      </c>
      <c r="G51" s="16" t="s">
        <v>50</v>
      </c>
      <c r="H51" s="14" t="n">
        <v>0</v>
      </c>
      <c r="I51" s="17" t="s">
        <v>22</v>
      </c>
      <c r="J51" s="18" t="n">
        <v>56082.52</v>
      </c>
      <c r="K51" s="15" t="n">
        <v>57720</v>
      </c>
      <c r="L51" s="15" t="n">
        <f aca="false">F51*K51</f>
        <v>0</v>
      </c>
      <c r="M51" s="18" t="n">
        <v>0</v>
      </c>
      <c r="N51" s="20" t="n">
        <v>1121650.4</v>
      </c>
    </row>
    <row r="52" customFormat="false" ht="14.25" hidden="false" customHeight="false" outlineLevel="0" collapsed="false">
      <c r="A52" s="21" t="n">
        <v>48</v>
      </c>
      <c r="B52" s="22" t="s">
        <v>121</v>
      </c>
      <c r="C52" s="22" t="s">
        <v>122</v>
      </c>
      <c r="D52" s="22" t="s">
        <v>63</v>
      </c>
      <c r="E52" s="23" t="n">
        <v>2</v>
      </c>
      <c r="F52" s="15" t="n">
        <v>0</v>
      </c>
      <c r="G52" s="24" t="s">
        <v>116</v>
      </c>
      <c r="H52" s="23" t="n">
        <v>0</v>
      </c>
      <c r="I52" s="25" t="s">
        <v>22</v>
      </c>
      <c r="J52" s="26" t="n">
        <v>1500000</v>
      </c>
      <c r="K52" s="15" t="n">
        <v>0</v>
      </c>
      <c r="L52" s="15" t="n">
        <f aca="false">F52*K52</f>
        <v>0</v>
      </c>
      <c r="M52" s="26" t="n">
        <v>0</v>
      </c>
      <c r="N52" s="27" t="n">
        <v>3000000</v>
      </c>
    </row>
    <row r="53" customFormat="false" ht="14.25" hidden="false" customHeight="false" outlineLevel="0" collapsed="false">
      <c r="A53" s="12" t="n">
        <v>49</v>
      </c>
      <c r="B53" s="13" t="s">
        <v>123</v>
      </c>
      <c r="C53" s="13" t="s">
        <v>124</v>
      </c>
      <c r="D53" s="13" t="s">
        <v>63</v>
      </c>
      <c r="E53" s="14" t="n">
        <v>1</v>
      </c>
      <c r="F53" s="15" t="n">
        <v>0</v>
      </c>
      <c r="G53" s="16" t="s">
        <v>50</v>
      </c>
      <c r="H53" s="14" t="n">
        <v>0</v>
      </c>
      <c r="I53" s="17" t="s">
        <v>22</v>
      </c>
      <c r="J53" s="18" t="n">
        <v>100000</v>
      </c>
      <c r="K53" s="15" t="n">
        <v>0</v>
      </c>
      <c r="L53" s="15" t="n">
        <f aca="false">F53*K53</f>
        <v>0</v>
      </c>
      <c r="M53" s="18" t="n">
        <v>0</v>
      </c>
      <c r="N53" s="20" t="n">
        <v>100000</v>
      </c>
    </row>
    <row r="54" customFormat="false" ht="14.25" hidden="false" customHeight="false" outlineLevel="0" collapsed="false">
      <c r="A54" s="21" t="n">
        <v>50</v>
      </c>
      <c r="B54" s="22" t="s">
        <v>125</v>
      </c>
      <c r="C54" s="22" t="s">
        <v>126</v>
      </c>
      <c r="D54" s="22" t="s">
        <v>63</v>
      </c>
      <c r="E54" s="23" t="n">
        <v>602</v>
      </c>
      <c r="F54" s="15" t="n">
        <v>580</v>
      </c>
      <c r="G54" s="24" t="s">
        <v>127</v>
      </c>
      <c r="H54" s="23" t="n">
        <v>0</v>
      </c>
      <c r="I54" s="25" t="s">
        <v>22</v>
      </c>
      <c r="J54" s="26" t="n">
        <v>8000</v>
      </c>
      <c r="K54" s="19" t="n">
        <v>159.67</v>
      </c>
      <c r="L54" s="15" t="n">
        <f aca="false">F54*K54</f>
        <v>92608.6</v>
      </c>
      <c r="M54" s="26" t="n">
        <v>0</v>
      </c>
      <c r="N54" s="27" t="n">
        <v>4816000</v>
      </c>
    </row>
    <row r="55" customFormat="false" ht="14.25" hidden="false" customHeight="false" outlineLevel="0" collapsed="false">
      <c r="A55" s="12" t="n">
        <v>51</v>
      </c>
      <c r="B55" s="13" t="s">
        <v>128</v>
      </c>
      <c r="C55" s="13" t="s">
        <v>129</v>
      </c>
      <c r="D55" s="13" t="s">
        <v>63</v>
      </c>
      <c r="E55" s="14" t="n">
        <v>2</v>
      </c>
      <c r="F55" s="15" t="n">
        <v>1</v>
      </c>
      <c r="G55" s="16" t="s">
        <v>130</v>
      </c>
      <c r="H55" s="14" t="n">
        <v>0</v>
      </c>
      <c r="I55" s="17" t="s">
        <v>22</v>
      </c>
      <c r="J55" s="18" t="n">
        <v>11100</v>
      </c>
      <c r="K55" s="19" t="n">
        <v>11100</v>
      </c>
      <c r="L55" s="15" t="n">
        <f aca="false">F55*K55</f>
        <v>11100</v>
      </c>
      <c r="M55" s="18" t="n">
        <v>0</v>
      </c>
      <c r="N55" s="20" t="n">
        <v>22200</v>
      </c>
    </row>
    <row r="56" customFormat="false" ht="14.25" hidden="false" customHeight="false" outlineLevel="0" collapsed="false">
      <c r="A56" s="28" t="n">
        <v>52</v>
      </c>
      <c r="B56" s="29" t="s">
        <v>131</v>
      </c>
      <c r="C56" s="29" t="s">
        <v>132</v>
      </c>
      <c r="D56" s="29" t="s">
        <v>63</v>
      </c>
      <c r="E56" s="30" t="n">
        <v>0</v>
      </c>
      <c r="F56" s="15" t="n">
        <v>3400</v>
      </c>
      <c r="G56" s="31" t="s">
        <v>21</v>
      </c>
      <c r="H56" s="30" t="n">
        <v>0</v>
      </c>
      <c r="I56" s="32" t="s">
        <v>29</v>
      </c>
      <c r="J56" s="33" t="n">
        <v>15882.35</v>
      </c>
      <c r="K56" s="19" t="n">
        <v>117.64</v>
      </c>
      <c r="L56" s="15" t="n">
        <f aca="false">F56*K56</f>
        <v>399976</v>
      </c>
      <c r="M56" s="33" t="n">
        <v>0</v>
      </c>
      <c r="N56" s="34" t="n">
        <v>0</v>
      </c>
    </row>
    <row r="57" customFormat="false" ht="14.25" hidden="false" customHeight="false" outlineLevel="0" collapsed="false">
      <c r="A57" s="12" t="n">
        <v>53</v>
      </c>
      <c r="B57" s="13" t="s">
        <v>133</v>
      </c>
      <c r="C57" s="13" t="s">
        <v>134</v>
      </c>
      <c r="D57" s="13" t="s">
        <v>63</v>
      </c>
      <c r="E57" s="14" t="n">
        <v>51</v>
      </c>
      <c r="F57" s="15" t="n">
        <v>5000</v>
      </c>
      <c r="G57" s="16" t="s">
        <v>21</v>
      </c>
      <c r="H57" s="14" t="n">
        <v>0</v>
      </c>
      <c r="I57" s="17" t="s">
        <v>22</v>
      </c>
      <c r="J57" s="18" t="n">
        <v>13725.49</v>
      </c>
      <c r="K57" s="19" t="n">
        <v>70</v>
      </c>
      <c r="L57" s="15" t="n">
        <f aca="false">F57*K57</f>
        <v>350000</v>
      </c>
      <c r="M57" s="18" t="n">
        <v>0</v>
      </c>
      <c r="N57" s="20" t="n">
        <v>699999.99</v>
      </c>
    </row>
    <row r="58" customFormat="false" ht="14.25" hidden="false" customHeight="false" outlineLevel="0" collapsed="false">
      <c r="A58" s="21" t="n">
        <v>54</v>
      </c>
      <c r="B58" s="22" t="s">
        <v>135</v>
      </c>
      <c r="C58" s="22" t="s">
        <v>136</v>
      </c>
      <c r="D58" s="22" t="s">
        <v>63</v>
      </c>
      <c r="E58" s="23" t="n">
        <v>5</v>
      </c>
      <c r="F58" s="15" t="n">
        <v>0</v>
      </c>
      <c r="G58" s="24" t="s">
        <v>116</v>
      </c>
      <c r="H58" s="23" t="n">
        <v>0</v>
      </c>
      <c r="I58" s="25" t="s">
        <v>22</v>
      </c>
      <c r="J58" s="26" t="n">
        <v>30000</v>
      </c>
      <c r="K58" s="15" t="n">
        <v>0</v>
      </c>
      <c r="L58" s="15" t="n">
        <f aca="false">F58*K58</f>
        <v>0</v>
      </c>
      <c r="M58" s="26" t="n">
        <v>0</v>
      </c>
      <c r="N58" s="27" t="n">
        <v>150000</v>
      </c>
    </row>
    <row r="59" customFormat="false" ht="14.25" hidden="false" customHeight="false" outlineLevel="0" collapsed="false">
      <c r="A59" s="12" t="n">
        <v>55</v>
      </c>
      <c r="B59" s="13" t="s">
        <v>137</v>
      </c>
      <c r="C59" s="13" t="s">
        <v>138</v>
      </c>
      <c r="D59" s="13" t="s">
        <v>63</v>
      </c>
      <c r="E59" s="14" t="n">
        <v>12000</v>
      </c>
      <c r="F59" s="15" t="n">
        <v>0</v>
      </c>
      <c r="G59" s="16" t="s">
        <v>21</v>
      </c>
      <c r="H59" s="14" t="n">
        <v>0</v>
      </c>
      <c r="I59" s="17" t="s">
        <v>22</v>
      </c>
      <c r="J59" s="18" t="n">
        <v>47.5</v>
      </c>
      <c r="K59" s="15" t="n">
        <v>47.5</v>
      </c>
      <c r="L59" s="15" t="n">
        <f aca="false">F59*K59</f>
        <v>0</v>
      </c>
      <c r="M59" s="18" t="n">
        <v>0</v>
      </c>
      <c r="N59" s="20" t="n">
        <v>570000</v>
      </c>
    </row>
    <row r="60" customFormat="false" ht="14.25" hidden="false" customHeight="false" outlineLevel="0" collapsed="false">
      <c r="A60" s="21" t="n">
        <v>56</v>
      </c>
      <c r="B60" s="22" t="s">
        <v>139</v>
      </c>
      <c r="C60" s="22" t="s">
        <v>140</v>
      </c>
      <c r="D60" s="22" t="s">
        <v>63</v>
      </c>
      <c r="E60" s="23" t="n">
        <v>98</v>
      </c>
      <c r="F60" s="15" t="n">
        <v>97</v>
      </c>
      <c r="G60" s="24" t="s">
        <v>50</v>
      </c>
      <c r="H60" s="23" t="n">
        <v>0</v>
      </c>
      <c r="I60" s="25" t="s">
        <v>22</v>
      </c>
      <c r="J60" s="26" t="n">
        <v>300</v>
      </c>
      <c r="K60" s="19" t="n">
        <v>300</v>
      </c>
      <c r="L60" s="15" t="n">
        <f aca="false">F60*K60</f>
        <v>29100</v>
      </c>
      <c r="M60" s="26" t="n">
        <v>0</v>
      </c>
      <c r="N60" s="27" t="n">
        <v>29400</v>
      </c>
    </row>
    <row r="61" customFormat="false" ht="14.25" hidden="false" customHeight="false" outlineLevel="0" collapsed="false">
      <c r="A61" s="12" t="n">
        <v>57</v>
      </c>
      <c r="B61" s="13" t="s">
        <v>141</v>
      </c>
      <c r="C61" s="13" t="s">
        <v>142</v>
      </c>
      <c r="D61" s="13" t="s">
        <v>63</v>
      </c>
      <c r="E61" s="14" t="n">
        <v>12</v>
      </c>
      <c r="F61" s="15" t="n">
        <v>0</v>
      </c>
      <c r="G61" s="16" t="s">
        <v>50</v>
      </c>
      <c r="H61" s="14" t="n">
        <v>0</v>
      </c>
      <c r="I61" s="17" t="s">
        <v>22</v>
      </c>
      <c r="J61" s="18" t="n">
        <v>4584</v>
      </c>
      <c r="K61" s="15" t="n">
        <v>4584</v>
      </c>
      <c r="L61" s="15" t="n">
        <f aca="false">F61*K61</f>
        <v>0</v>
      </c>
      <c r="M61" s="18" t="n">
        <v>0</v>
      </c>
      <c r="N61" s="20" t="n">
        <v>55008</v>
      </c>
    </row>
    <row r="62" customFormat="false" ht="14.25" hidden="false" customHeight="false" outlineLevel="0" collapsed="false">
      <c r="A62" s="21" t="n">
        <v>58</v>
      </c>
      <c r="B62" s="22" t="s">
        <v>143</v>
      </c>
      <c r="C62" s="22" t="s">
        <v>144</v>
      </c>
      <c r="D62" s="22" t="s">
        <v>63</v>
      </c>
      <c r="E62" s="23" t="n">
        <v>50</v>
      </c>
      <c r="F62" s="15" t="n">
        <v>0</v>
      </c>
      <c r="G62" s="24" t="s">
        <v>50</v>
      </c>
      <c r="H62" s="23" t="n">
        <v>0</v>
      </c>
      <c r="I62" s="25" t="s">
        <v>22</v>
      </c>
      <c r="J62" s="26" t="n">
        <v>1240</v>
      </c>
      <c r="K62" s="15" t="n">
        <v>0</v>
      </c>
      <c r="L62" s="15" t="n">
        <f aca="false">F62*K62</f>
        <v>0</v>
      </c>
      <c r="M62" s="26" t="n">
        <v>0</v>
      </c>
      <c r="N62" s="27" t="n">
        <v>62000</v>
      </c>
    </row>
    <row r="63" customFormat="false" ht="14.25" hidden="false" customHeight="false" outlineLevel="0" collapsed="false">
      <c r="A63" s="12" t="n">
        <v>59</v>
      </c>
      <c r="B63" s="13" t="s">
        <v>145</v>
      </c>
      <c r="C63" s="13" t="s">
        <v>146</v>
      </c>
      <c r="D63" s="13" t="s">
        <v>63</v>
      </c>
      <c r="E63" s="14" t="n">
        <v>1</v>
      </c>
      <c r="F63" s="15" t="n">
        <v>21</v>
      </c>
      <c r="G63" s="16" t="s">
        <v>50</v>
      </c>
      <c r="H63" s="14" t="n">
        <v>0</v>
      </c>
      <c r="I63" s="17" t="s">
        <v>22</v>
      </c>
      <c r="J63" s="18" t="n">
        <v>75000</v>
      </c>
      <c r="K63" s="19" t="n">
        <v>2500</v>
      </c>
      <c r="L63" s="15" t="n">
        <f aca="false">F63*K63</f>
        <v>52500</v>
      </c>
      <c r="M63" s="18" t="n">
        <v>0</v>
      </c>
      <c r="N63" s="20" t="n">
        <v>75000</v>
      </c>
    </row>
    <row r="64" customFormat="false" ht="14.25" hidden="false" customHeight="false" outlineLevel="0" collapsed="false">
      <c r="A64" s="21" t="n">
        <v>60</v>
      </c>
      <c r="B64" s="22" t="s">
        <v>147</v>
      </c>
      <c r="C64" s="22" t="s">
        <v>148</v>
      </c>
      <c r="D64" s="22" t="s">
        <v>63</v>
      </c>
      <c r="E64" s="23" t="n">
        <v>4</v>
      </c>
      <c r="F64" s="15" t="n">
        <v>10</v>
      </c>
      <c r="G64" s="24" t="s">
        <v>50</v>
      </c>
      <c r="H64" s="23" t="n">
        <v>0</v>
      </c>
      <c r="I64" s="25" t="s">
        <v>22</v>
      </c>
      <c r="J64" s="26" t="n">
        <v>50000</v>
      </c>
      <c r="K64" s="15" t="n">
        <v>40000</v>
      </c>
      <c r="L64" s="15" t="n">
        <f aca="false">F64*K64</f>
        <v>400000</v>
      </c>
      <c r="M64" s="26" t="n">
        <v>0</v>
      </c>
      <c r="N64" s="27" t="n">
        <v>200000</v>
      </c>
    </row>
    <row r="65" customFormat="false" ht="14.25" hidden="false" customHeight="false" outlineLevel="0" collapsed="false">
      <c r="A65" s="12" t="n">
        <v>61</v>
      </c>
      <c r="B65" s="13" t="s">
        <v>149</v>
      </c>
      <c r="C65" s="13" t="s">
        <v>150</v>
      </c>
      <c r="D65" s="13" t="s">
        <v>63</v>
      </c>
      <c r="E65" s="14" t="n">
        <v>2</v>
      </c>
      <c r="F65" s="15" t="n">
        <v>3</v>
      </c>
      <c r="G65" s="16" t="s">
        <v>50</v>
      </c>
      <c r="H65" s="14" t="n">
        <v>0</v>
      </c>
      <c r="I65" s="17" t="s">
        <v>22</v>
      </c>
      <c r="J65" s="18" t="n">
        <v>105000</v>
      </c>
      <c r="K65" s="19" t="n">
        <v>105000</v>
      </c>
      <c r="L65" s="15" t="n">
        <f aca="false">F65*K65</f>
        <v>315000</v>
      </c>
      <c r="M65" s="18" t="n">
        <v>0</v>
      </c>
      <c r="N65" s="20" t="n">
        <v>210000</v>
      </c>
    </row>
    <row r="66" customFormat="false" ht="14.25" hidden="false" customHeight="false" outlineLevel="0" collapsed="false">
      <c r="A66" s="21" t="n">
        <v>62</v>
      </c>
      <c r="B66" s="22" t="s">
        <v>151</v>
      </c>
      <c r="C66" s="22" t="s">
        <v>152</v>
      </c>
      <c r="D66" s="22" t="s">
        <v>63</v>
      </c>
      <c r="E66" s="23" t="n">
        <v>2</v>
      </c>
      <c r="F66" s="15" t="n">
        <v>2</v>
      </c>
      <c r="G66" s="24" t="s">
        <v>50</v>
      </c>
      <c r="H66" s="23" t="n">
        <v>0</v>
      </c>
      <c r="I66" s="25" t="s">
        <v>22</v>
      </c>
      <c r="J66" s="26" t="n">
        <v>8880</v>
      </c>
      <c r="K66" s="15" t="n">
        <v>8880</v>
      </c>
      <c r="L66" s="15" t="n">
        <f aca="false">F66*K66</f>
        <v>17760</v>
      </c>
      <c r="M66" s="26" t="n">
        <v>0</v>
      </c>
      <c r="N66" s="27" t="n">
        <v>17760</v>
      </c>
    </row>
    <row r="67" customFormat="false" ht="14.25" hidden="false" customHeight="false" outlineLevel="0" collapsed="false">
      <c r="A67" s="12" t="n">
        <v>63</v>
      </c>
      <c r="B67" s="13" t="s">
        <v>153</v>
      </c>
      <c r="C67" s="13" t="s">
        <v>154</v>
      </c>
      <c r="D67" s="13" t="s">
        <v>63</v>
      </c>
      <c r="E67" s="14" t="n">
        <v>2</v>
      </c>
      <c r="F67" s="15" t="n">
        <v>1</v>
      </c>
      <c r="G67" s="16" t="s">
        <v>127</v>
      </c>
      <c r="H67" s="14" t="n">
        <v>0</v>
      </c>
      <c r="I67" s="17" t="s">
        <v>22</v>
      </c>
      <c r="J67" s="18" t="n">
        <v>215000</v>
      </c>
      <c r="K67" s="19" t="n">
        <v>215000</v>
      </c>
      <c r="L67" s="15" t="n">
        <f aca="false">F67*K67</f>
        <v>215000</v>
      </c>
      <c r="M67" s="18" t="n">
        <v>0</v>
      </c>
      <c r="N67" s="20" t="n">
        <v>430000</v>
      </c>
    </row>
    <row r="68" customFormat="false" ht="14.25" hidden="false" customHeight="false" outlineLevel="0" collapsed="false">
      <c r="A68" s="21" t="n">
        <v>64</v>
      </c>
      <c r="B68" s="22" t="s">
        <v>155</v>
      </c>
      <c r="C68" s="22" t="s">
        <v>156</v>
      </c>
      <c r="D68" s="22" t="s">
        <v>63</v>
      </c>
      <c r="E68" s="23" t="n">
        <v>3</v>
      </c>
      <c r="F68" s="15" t="n">
        <v>2</v>
      </c>
      <c r="G68" s="24" t="s">
        <v>50</v>
      </c>
      <c r="H68" s="23" t="n">
        <v>0</v>
      </c>
      <c r="I68" s="25" t="s">
        <v>22</v>
      </c>
      <c r="J68" s="26" t="n">
        <v>35000</v>
      </c>
      <c r="K68" s="19" t="n">
        <v>35000</v>
      </c>
      <c r="L68" s="15" t="n">
        <f aca="false">F68*K68</f>
        <v>70000</v>
      </c>
      <c r="M68" s="26" t="n">
        <v>0</v>
      </c>
      <c r="N68" s="27" t="n">
        <v>105000</v>
      </c>
    </row>
    <row r="69" customFormat="false" ht="14.25" hidden="false" customHeight="false" outlineLevel="0" collapsed="false">
      <c r="A69" s="12" t="n">
        <v>65</v>
      </c>
      <c r="B69" s="13" t="s">
        <v>157</v>
      </c>
      <c r="C69" s="13" t="s">
        <v>158</v>
      </c>
      <c r="D69" s="13" t="s">
        <v>63</v>
      </c>
      <c r="E69" s="14" t="n">
        <v>1</v>
      </c>
      <c r="F69" s="15" t="n">
        <v>50</v>
      </c>
      <c r="G69" s="16" t="s">
        <v>50</v>
      </c>
      <c r="H69" s="14" t="n">
        <v>0</v>
      </c>
      <c r="I69" s="17" t="s">
        <v>22</v>
      </c>
      <c r="J69" s="18" t="n">
        <v>99900</v>
      </c>
      <c r="K69" s="15" t="n">
        <v>3330</v>
      </c>
      <c r="L69" s="15" t="n">
        <f aca="false">F69*K69</f>
        <v>166500</v>
      </c>
      <c r="M69" s="18" t="n">
        <v>0</v>
      </c>
      <c r="N69" s="20" t="n">
        <v>99900</v>
      </c>
    </row>
    <row r="70" customFormat="false" ht="14.25" hidden="false" customHeight="false" outlineLevel="0" collapsed="false">
      <c r="A70" s="21" t="n">
        <v>66</v>
      </c>
      <c r="B70" s="22" t="s">
        <v>159</v>
      </c>
      <c r="C70" s="22" t="s">
        <v>160</v>
      </c>
      <c r="D70" s="22" t="s">
        <v>63</v>
      </c>
      <c r="E70" s="23" t="n">
        <v>3</v>
      </c>
      <c r="F70" s="15" t="n">
        <v>0</v>
      </c>
      <c r="G70" s="24" t="s">
        <v>50</v>
      </c>
      <c r="H70" s="23" t="n">
        <v>0</v>
      </c>
      <c r="I70" s="25" t="s">
        <v>22</v>
      </c>
      <c r="J70" s="26" t="n">
        <v>110000</v>
      </c>
      <c r="K70" s="15" t="n">
        <v>0</v>
      </c>
      <c r="L70" s="15" t="n">
        <f aca="false">F70*K70</f>
        <v>0</v>
      </c>
      <c r="M70" s="26" t="n">
        <v>0</v>
      </c>
      <c r="N70" s="27" t="n">
        <v>330000</v>
      </c>
    </row>
    <row r="71" customFormat="false" ht="14.25" hidden="false" customHeight="false" outlineLevel="0" collapsed="false">
      <c r="A71" s="12" t="n">
        <v>67</v>
      </c>
      <c r="B71" s="13" t="s">
        <v>161</v>
      </c>
      <c r="C71" s="13" t="s">
        <v>162</v>
      </c>
      <c r="D71" s="13" t="s">
        <v>63</v>
      </c>
      <c r="E71" s="14" t="n">
        <v>12</v>
      </c>
      <c r="F71" s="15" t="n">
        <v>9</v>
      </c>
      <c r="G71" s="16" t="s">
        <v>50</v>
      </c>
      <c r="H71" s="14" t="n">
        <v>0</v>
      </c>
      <c r="I71" s="17" t="s">
        <v>22</v>
      </c>
      <c r="J71" s="18" t="n">
        <v>2500</v>
      </c>
      <c r="K71" s="19" t="n">
        <v>2500</v>
      </c>
      <c r="L71" s="15" t="n">
        <f aca="false">F71*K71</f>
        <v>22500</v>
      </c>
      <c r="M71" s="18" t="n">
        <v>0</v>
      </c>
      <c r="N71" s="20" t="n">
        <v>30000</v>
      </c>
    </row>
    <row r="72" customFormat="false" ht="14.25" hidden="false" customHeight="false" outlineLevel="0" collapsed="false">
      <c r="A72" s="21" t="n">
        <v>68</v>
      </c>
      <c r="B72" s="22" t="s">
        <v>163</v>
      </c>
      <c r="C72" s="22" t="s">
        <v>164</v>
      </c>
      <c r="D72" s="22" t="s">
        <v>63</v>
      </c>
      <c r="E72" s="23" t="n">
        <v>21</v>
      </c>
      <c r="F72" s="15" t="n">
        <v>21</v>
      </c>
      <c r="G72" s="24" t="s">
        <v>50</v>
      </c>
      <c r="H72" s="23" t="n">
        <v>0</v>
      </c>
      <c r="I72" s="25" t="s">
        <v>22</v>
      </c>
      <c r="J72" s="26" t="n">
        <v>5681.82</v>
      </c>
      <c r="K72" s="19" t="n">
        <v>3833.33</v>
      </c>
      <c r="L72" s="15" t="n">
        <f aca="false">F72*K72</f>
        <v>80499.93</v>
      </c>
      <c r="M72" s="26" t="n">
        <v>0</v>
      </c>
      <c r="N72" s="27" t="n">
        <v>119318.22</v>
      </c>
    </row>
    <row r="73" customFormat="false" ht="14.25" hidden="false" customHeight="false" outlineLevel="0" collapsed="false">
      <c r="A73" s="12" t="n">
        <v>69</v>
      </c>
      <c r="B73" s="13" t="s">
        <v>165</v>
      </c>
      <c r="C73" s="13" t="s">
        <v>166</v>
      </c>
      <c r="D73" s="13" t="s">
        <v>63</v>
      </c>
      <c r="E73" s="14" t="n">
        <v>15</v>
      </c>
      <c r="F73" s="15" t="n">
        <v>13</v>
      </c>
      <c r="G73" s="16" t="s">
        <v>50</v>
      </c>
      <c r="H73" s="14" t="n">
        <v>0</v>
      </c>
      <c r="I73" s="17" t="s">
        <v>22</v>
      </c>
      <c r="J73" s="18" t="n">
        <v>49600</v>
      </c>
      <c r="K73" s="19" t="n">
        <v>36480</v>
      </c>
      <c r="L73" s="15" t="n">
        <f aca="false">F73*K73</f>
        <v>474240</v>
      </c>
      <c r="M73" s="18" t="n">
        <v>0</v>
      </c>
      <c r="N73" s="20" t="n">
        <v>744000</v>
      </c>
    </row>
    <row r="74" customFormat="false" ht="14.25" hidden="false" customHeight="false" outlineLevel="0" collapsed="false">
      <c r="A74" s="21" t="n">
        <v>70</v>
      </c>
      <c r="B74" s="22" t="s">
        <v>167</v>
      </c>
      <c r="C74" s="22" t="s">
        <v>168</v>
      </c>
      <c r="D74" s="22" t="s">
        <v>63</v>
      </c>
      <c r="E74" s="23" t="n">
        <v>10</v>
      </c>
      <c r="F74" s="15" t="n">
        <v>10</v>
      </c>
      <c r="G74" s="24" t="s">
        <v>50</v>
      </c>
      <c r="H74" s="23" t="n">
        <v>0</v>
      </c>
      <c r="I74" s="25" t="s">
        <v>22</v>
      </c>
      <c r="J74" s="26" t="n">
        <v>5000</v>
      </c>
      <c r="K74" s="15" t="n">
        <v>5000</v>
      </c>
      <c r="L74" s="15" t="n">
        <f aca="false">F74*K74</f>
        <v>50000</v>
      </c>
      <c r="M74" s="26" t="n">
        <v>0</v>
      </c>
      <c r="N74" s="27" t="n">
        <v>50000</v>
      </c>
    </row>
    <row r="75" customFormat="false" ht="14.25" hidden="false" customHeight="false" outlineLevel="0" collapsed="false">
      <c r="A75" s="12" t="n">
        <v>71</v>
      </c>
      <c r="B75" s="13" t="s">
        <v>169</v>
      </c>
      <c r="C75" s="13" t="s">
        <v>170</v>
      </c>
      <c r="D75" s="13" t="s">
        <v>63</v>
      </c>
      <c r="E75" s="14" t="n">
        <v>10</v>
      </c>
      <c r="F75" s="15" t="n">
        <v>10</v>
      </c>
      <c r="G75" s="16" t="s">
        <v>50</v>
      </c>
      <c r="H75" s="14" t="n">
        <v>0</v>
      </c>
      <c r="I75" s="17" t="s">
        <v>22</v>
      </c>
      <c r="J75" s="18" t="n">
        <v>11500</v>
      </c>
      <c r="K75" s="19" t="n">
        <v>11500</v>
      </c>
      <c r="L75" s="15" t="n">
        <f aca="false">F75*K75</f>
        <v>115000</v>
      </c>
      <c r="M75" s="18" t="n">
        <v>0</v>
      </c>
      <c r="N75" s="20" t="n">
        <v>115000</v>
      </c>
    </row>
    <row r="76" customFormat="false" ht="14.25" hidden="false" customHeight="false" outlineLevel="0" collapsed="false">
      <c r="A76" s="21" t="n">
        <v>72</v>
      </c>
      <c r="B76" s="22" t="s">
        <v>171</v>
      </c>
      <c r="C76" s="22" t="s">
        <v>172</v>
      </c>
      <c r="D76" s="22" t="s">
        <v>63</v>
      </c>
      <c r="E76" s="23" t="n">
        <v>50</v>
      </c>
      <c r="F76" s="15" t="n">
        <v>50</v>
      </c>
      <c r="G76" s="24" t="s">
        <v>50</v>
      </c>
      <c r="H76" s="23" t="n">
        <v>0</v>
      </c>
      <c r="I76" s="25" t="s">
        <v>22</v>
      </c>
      <c r="J76" s="26" t="n">
        <v>7770</v>
      </c>
      <c r="K76" s="15" t="n">
        <v>7770</v>
      </c>
      <c r="L76" s="15" t="n">
        <f aca="false">F76*K76</f>
        <v>388500</v>
      </c>
      <c r="M76" s="26" t="n">
        <v>0</v>
      </c>
      <c r="N76" s="27" t="n">
        <v>388500</v>
      </c>
    </row>
    <row r="77" customFormat="false" ht="14.25" hidden="false" customHeight="false" outlineLevel="0" collapsed="false">
      <c r="A77" s="12" t="n">
        <v>73</v>
      </c>
      <c r="B77" s="13" t="s">
        <v>173</v>
      </c>
      <c r="C77" s="13" t="s">
        <v>174</v>
      </c>
      <c r="D77" s="13" t="s">
        <v>63</v>
      </c>
      <c r="E77" s="14" t="n">
        <v>50</v>
      </c>
      <c r="F77" s="15" t="n">
        <v>50</v>
      </c>
      <c r="G77" s="16" t="s">
        <v>50</v>
      </c>
      <c r="H77" s="14" t="n">
        <v>0</v>
      </c>
      <c r="I77" s="17" t="s">
        <v>22</v>
      </c>
      <c r="J77" s="18" t="n">
        <v>7770</v>
      </c>
      <c r="K77" s="15" t="n">
        <v>7770</v>
      </c>
      <c r="L77" s="15" t="n">
        <f aca="false">F77*K77</f>
        <v>388500</v>
      </c>
      <c r="M77" s="18" t="n">
        <v>0</v>
      </c>
      <c r="N77" s="20" t="n">
        <v>388500</v>
      </c>
    </row>
    <row r="78" customFormat="false" ht="14.25" hidden="false" customHeight="false" outlineLevel="0" collapsed="false">
      <c r="A78" s="21" t="n">
        <v>74</v>
      </c>
      <c r="B78" s="22" t="s">
        <v>175</v>
      </c>
      <c r="C78" s="22" t="s">
        <v>176</v>
      </c>
      <c r="D78" s="22" t="s">
        <v>63</v>
      </c>
      <c r="E78" s="23" t="n">
        <v>50</v>
      </c>
      <c r="F78" s="15" t="n">
        <v>50</v>
      </c>
      <c r="G78" s="24" t="s">
        <v>50</v>
      </c>
      <c r="H78" s="23" t="n">
        <v>0</v>
      </c>
      <c r="I78" s="25" t="s">
        <v>22</v>
      </c>
      <c r="J78" s="26" t="n">
        <v>7770</v>
      </c>
      <c r="K78" s="15" t="n">
        <v>7770</v>
      </c>
      <c r="L78" s="15" t="n">
        <f aca="false">F78*K78</f>
        <v>388500</v>
      </c>
      <c r="M78" s="26" t="n">
        <v>0</v>
      </c>
      <c r="N78" s="27" t="n">
        <v>388500</v>
      </c>
    </row>
    <row r="79" customFormat="false" ht="14.25" hidden="false" customHeight="false" outlineLevel="0" collapsed="false">
      <c r="A79" s="12" t="n">
        <v>75</v>
      </c>
      <c r="B79" s="13" t="s">
        <v>177</v>
      </c>
      <c r="C79" s="13" t="s">
        <v>178</v>
      </c>
      <c r="D79" s="13" t="s">
        <v>63</v>
      </c>
      <c r="E79" s="14" t="n">
        <v>50</v>
      </c>
      <c r="F79" s="15" t="n">
        <v>50</v>
      </c>
      <c r="G79" s="16" t="s">
        <v>50</v>
      </c>
      <c r="H79" s="14" t="n">
        <v>0</v>
      </c>
      <c r="I79" s="17" t="s">
        <v>22</v>
      </c>
      <c r="J79" s="18" t="n">
        <v>7770</v>
      </c>
      <c r="K79" s="15" t="n">
        <v>7770</v>
      </c>
      <c r="L79" s="15" t="n">
        <f aca="false">F79*K79</f>
        <v>388500</v>
      </c>
      <c r="M79" s="18" t="n">
        <v>0</v>
      </c>
      <c r="N79" s="20" t="n">
        <v>388500</v>
      </c>
    </row>
    <row r="80" customFormat="false" ht="14.25" hidden="false" customHeight="false" outlineLevel="0" collapsed="false">
      <c r="A80" s="21" t="n">
        <v>76</v>
      </c>
      <c r="B80" s="22" t="s">
        <v>179</v>
      </c>
      <c r="C80" s="22" t="s">
        <v>180</v>
      </c>
      <c r="D80" s="22" t="s">
        <v>63</v>
      </c>
      <c r="E80" s="23" t="n">
        <v>50</v>
      </c>
      <c r="F80" s="15" t="n">
        <v>50</v>
      </c>
      <c r="G80" s="24" t="s">
        <v>50</v>
      </c>
      <c r="H80" s="23" t="n">
        <v>0</v>
      </c>
      <c r="I80" s="25" t="s">
        <v>22</v>
      </c>
      <c r="J80" s="26" t="n">
        <v>7770</v>
      </c>
      <c r="K80" s="15" t="n">
        <v>7770</v>
      </c>
      <c r="L80" s="15" t="n">
        <f aca="false">F80*K80</f>
        <v>388500</v>
      </c>
      <c r="M80" s="26" t="n">
        <v>0</v>
      </c>
      <c r="N80" s="27" t="n">
        <v>388500</v>
      </c>
    </row>
    <row r="81" customFormat="false" ht="14.25" hidden="false" customHeight="false" outlineLevel="0" collapsed="false">
      <c r="A81" s="12" t="n">
        <v>77</v>
      </c>
      <c r="B81" s="13" t="s">
        <v>181</v>
      </c>
      <c r="C81" s="13" t="s">
        <v>182</v>
      </c>
      <c r="D81" s="13" t="s">
        <v>63</v>
      </c>
      <c r="E81" s="14" t="n">
        <v>50</v>
      </c>
      <c r="F81" s="15" t="n">
        <v>50</v>
      </c>
      <c r="G81" s="16" t="s">
        <v>50</v>
      </c>
      <c r="H81" s="14" t="n">
        <v>0</v>
      </c>
      <c r="I81" s="17" t="s">
        <v>22</v>
      </c>
      <c r="J81" s="18" t="n">
        <v>7770</v>
      </c>
      <c r="K81" s="15" t="n">
        <v>7770</v>
      </c>
      <c r="L81" s="15" t="n">
        <f aca="false">F81*K81</f>
        <v>388500</v>
      </c>
      <c r="M81" s="18" t="n">
        <v>0</v>
      </c>
      <c r="N81" s="20" t="n">
        <v>388500</v>
      </c>
    </row>
    <row r="82" customFormat="false" ht="14.25" hidden="false" customHeight="false" outlineLevel="0" collapsed="false">
      <c r="A82" s="21" t="n">
        <v>78</v>
      </c>
      <c r="B82" s="22" t="s">
        <v>183</v>
      </c>
      <c r="C82" s="22" t="s">
        <v>184</v>
      </c>
      <c r="D82" s="22" t="s">
        <v>63</v>
      </c>
      <c r="E82" s="23" t="n">
        <v>50</v>
      </c>
      <c r="F82" s="15" t="n">
        <v>50</v>
      </c>
      <c r="G82" s="24" t="s">
        <v>50</v>
      </c>
      <c r="H82" s="23" t="n">
        <v>0</v>
      </c>
      <c r="I82" s="25" t="s">
        <v>22</v>
      </c>
      <c r="J82" s="26" t="n">
        <v>7770</v>
      </c>
      <c r="K82" s="15" t="n">
        <v>7770</v>
      </c>
      <c r="L82" s="15" t="n">
        <f aca="false">F82*K82</f>
        <v>388500</v>
      </c>
      <c r="M82" s="26" t="n">
        <v>0</v>
      </c>
      <c r="N82" s="27" t="n">
        <v>388500</v>
      </c>
    </row>
    <row r="83" customFormat="false" ht="14.25" hidden="false" customHeight="false" outlineLevel="0" collapsed="false">
      <c r="A83" s="12" t="n">
        <v>79</v>
      </c>
      <c r="B83" s="13" t="s">
        <v>185</v>
      </c>
      <c r="C83" s="13" t="s">
        <v>186</v>
      </c>
      <c r="D83" s="13" t="s">
        <v>63</v>
      </c>
      <c r="E83" s="14" t="n">
        <v>9</v>
      </c>
      <c r="F83" s="15" t="n">
        <v>3</v>
      </c>
      <c r="G83" s="16" t="s">
        <v>50</v>
      </c>
      <c r="H83" s="14" t="n">
        <v>0</v>
      </c>
      <c r="I83" s="17" t="s">
        <v>22</v>
      </c>
      <c r="J83" s="18" t="n">
        <v>68048.89</v>
      </c>
      <c r="K83" s="19" t="n">
        <v>69680</v>
      </c>
      <c r="L83" s="15" t="n">
        <f aca="false">F83*K83</f>
        <v>209040</v>
      </c>
      <c r="M83" s="18" t="n">
        <v>0</v>
      </c>
      <c r="N83" s="20" t="n">
        <v>612440.01</v>
      </c>
    </row>
    <row r="84" customFormat="false" ht="14.25" hidden="false" customHeight="false" outlineLevel="0" collapsed="false">
      <c r="A84" s="21" t="n">
        <v>80</v>
      </c>
      <c r="B84" s="22" t="s">
        <v>187</v>
      </c>
      <c r="C84" s="22" t="s">
        <v>188</v>
      </c>
      <c r="D84" s="22" t="s">
        <v>63</v>
      </c>
      <c r="E84" s="23" t="n">
        <v>21000</v>
      </c>
      <c r="F84" s="15" t="n">
        <v>12800</v>
      </c>
      <c r="G84" s="24" t="s">
        <v>21</v>
      </c>
      <c r="H84" s="23" t="n">
        <v>0</v>
      </c>
      <c r="I84" s="25" t="s">
        <v>22</v>
      </c>
      <c r="J84" s="26" t="n">
        <v>51.18</v>
      </c>
      <c r="K84" s="19" t="n">
        <v>11.99</v>
      </c>
      <c r="L84" s="15" t="n">
        <f aca="false">F84*K84</f>
        <v>153472</v>
      </c>
      <c r="M84" s="26" t="n">
        <v>0</v>
      </c>
      <c r="N84" s="27" t="n">
        <v>1074780</v>
      </c>
    </row>
    <row r="85" customFormat="false" ht="14.25" hidden="false" customHeight="false" outlineLevel="0" collapsed="false">
      <c r="A85" s="12" t="n">
        <v>81</v>
      </c>
      <c r="B85" s="13" t="s">
        <v>189</v>
      </c>
      <c r="C85" s="13" t="s">
        <v>190</v>
      </c>
      <c r="D85" s="13" t="s">
        <v>63</v>
      </c>
      <c r="E85" s="14" t="n">
        <v>496</v>
      </c>
      <c r="F85" s="15" t="n">
        <v>0</v>
      </c>
      <c r="G85" s="16" t="s">
        <v>50</v>
      </c>
      <c r="H85" s="14" t="n">
        <v>0</v>
      </c>
      <c r="I85" s="17" t="s">
        <v>22</v>
      </c>
      <c r="J85" s="18" t="n">
        <v>240</v>
      </c>
      <c r="K85" s="15" t="n">
        <v>0</v>
      </c>
      <c r="L85" s="15" t="n">
        <f aca="false">F85*K85</f>
        <v>0</v>
      </c>
      <c r="M85" s="18" t="n">
        <v>0</v>
      </c>
      <c r="N85" s="20" t="n">
        <v>119040</v>
      </c>
    </row>
    <row r="86" customFormat="false" ht="14.25" hidden="false" customHeight="false" outlineLevel="0" collapsed="false">
      <c r="A86" s="21" t="n">
        <v>82</v>
      </c>
      <c r="B86" s="22" t="s">
        <v>191</v>
      </c>
      <c r="C86" s="22" t="s">
        <v>192</v>
      </c>
      <c r="D86" s="22" t="s">
        <v>63</v>
      </c>
      <c r="E86" s="23" t="n">
        <v>60</v>
      </c>
      <c r="F86" s="15" t="n">
        <v>60</v>
      </c>
      <c r="G86" s="24" t="s">
        <v>193</v>
      </c>
      <c r="H86" s="23" t="n">
        <v>0</v>
      </c>
      <c r="I86" s="25" t="s">
        <v>22</v>
      </c>
      <c r="J86" s="26" t="n">
        <v>30525</v>
      </c>
      <c r="K86" s="15" t="n">
        <v>10175</v>
      </c>
      <c r="L86" s="15" t="n">
        <f aca="false">F86*K86</f>
        <v>610500</v>
      </c>
      <c r="M86" s="26" t="n">
        <v>0</v>
      </c>
      <c r="N86" s="27" t="n">
        <v>1831500</v>
      </c>
    </row>
    <row r="87" customFormat="false" ht="14.25" hidden="false" customHeight="false" outlineLevel="0" collapsed="false">
      <c r="A87" s="12" t="n">
        <v>83</v>
      </c>
      <c r="B87" s="13" t="s">
        <v>194</v>
      </c>
      <c r="C87" s="13" t="s">
        <v>195</v>
      </c>
      <c r="D87" s="13" t="s">
        <v>63</v>
      </c>
      <c r="E87" s="14" t="n">
        <v>2</v>
      </c>
      <c r="F87" s="15" t="n">
        <v>0</v>
      </c>
      <c r="G87" s="16" t="s">
        <v>50</v>
      </c>
      <c r="H87" s="14" t="n">
        <v>0</v>
      </c>
      <c r="I87" s="17" t="s">
        <v>22</v>
      </c>
      <c r="J87" s="18" t="n">
        <v>110000</v>
      </c>
      <c r="K87" s="15" t="n">
        <v>0</v>
      </c>
      <c r="L87" s="15" t="n">
        <f aca="false">F87*K87</f>
        <v>0</v>
      </c>
      <c r="M87" s="18" t="n">
        <v>0</v>
      </c>
      <c r="N87" s="20" t="n">
        <v>220000</v>
      </c>
    </row>
    <row r="88" customFormat="false" ht="14.25" hidden="false" customHeight="false" outlineLevel="0" collapsed="false">
      <c r="A88" s="21" t="n">
        <v>84</v>
      </c>
      <c r="B88" s="22" t="s">
        <v>196</v>
      </c>
      <c r="C88" s="22" t="s">
        <v>197</v>
      </c>
      <c r="D88" s="22" t="s">
        <v>63</v>
      </c>
      <c r="E88" s="23" t="n">
        <v>1</v>
      </c>
      <c r="F88" s="15" t="n">
        <v>0</v>
      </c>
      <c r="G88" s="24" t="s">
        <v>50</v>
      </c>
      <c r="H88" s="23" t="n">
        <v>0</v>
      </c>
      <c r="I88" s="25" t="s">
        <v>22</v>
      </c>
      <c r="J88" s="26" t="n">
        <v>37200</v>
      </c>
      <c r="K88" s="15" t="n">
        <v>0</v>
      </c>
      <c r="L88" s="15" t="n">
        <f aca="false">F88*K88</f>
        <v>0</v>
      </c>
      <c r="M88" s="26" t="n">
        <v>0</v>
      </c>
      <c r="N88" s="27" t="n">
        <v>37200</v>
      </c>
    </row>
    <row r="89" customFormat="false" ht="14.25" hidden="false" customHeight="false" outlineLevel="0" collapsed="false">
      <c r="A89" s="12" t="n">
        <v>85</v>
      </c>
      <c r="B89" s="13" t="s">
        <v>198</v>
      </c>
      <c r="C89" s="13" t="s">
        <v>199</v>
      </c>
      <c r="D89" s="13" t="s">
        <v>63</v>
      </c>
      <c r="E89" s="14" t="n">
        <v>100</v>
      </c>
      <c r="F89" s="15" t="n">
        <v>0</v>
      </c>
      <c r="G89" s="16" t="s">
        <v>50</v>
      </c>
      <c r="H89" s="14" t="n">
        <v>0</v>
      </c>
      <c r="I89" s="17" t="s">
        <v>22</v>
      </c>
      <c r="J89" s="18" t="n">
        <v>240</v>
      </c>
      <c r="K89" s="15" t="n">
        <v>0</v>
      </c>
      <c r="L89" s="15" t="n">
        <f aca="false">F89*K89</f>
        <v>0</v>
      </c>
      <c r="M89" s="18" t="n">
        <v>0</v>
      </c>
      <c r="N89" s="20" t="n">
        <v>24000</v>
      </c>
    </row>
    <row r="90" customFormat="false" ht="14.25" hidden="false" customHeight="false" outlineLevel="0" collapsed="false">
      <c r="A90" s="21" t="n">
        <v>86</v>
      </c>
      <c r="B90" s="22" t="s">
        <v>200</v>
      </c>
      <c r="C90" s="22" t="s">
        <v>201</v>
      </c>
      <c r="D90" s="22" t="s">
        <v>63</v>
      </c>
      <c r="E90" s="23" t="n">
        <v>6</v>
      </c>
      <c r="F90" s="15" t="n">
        <v>0</v>
      </c>
      <c r="G90" s="24" t="s">
        <v>50</v>
      </c>
      <c r="H90" s="23" t="n">
        <v>0</v>
      </c>
      <c r="I90" s="25" t="s">
        <v>22</v>
      </c>
      <c r="J90" s="26" t="n">
        <v>4167</v>
      </c>
      <c r="K90" s="15" t="n">
        <v>0</v>
      </c>
      <c r="L90" s="15" t="n">
        <f aca="false">F90*K90</f>
        <v>0</v>
      </c>
      <c r="M90" s="26" t="n">
        <v>0</v>
      </c>
      <c r="N90" s="27" t="n">
        <v>25002</v>
      </c>
    </row>
    <row r="91" customFormat="false" ht="14.25" hidden="false" customHeight="false" outlineLevel="0" collapsed="false">
      <c r="A91" s="12" t="n">
        <v>87</v>
      </c>
      <c r="B91" s="13" t="s">
        <v>202</v>
      </c>
      <c r="C91" s="13" t="s">
        <v>203</v>
      </c>
      <c r="D91" s="13" t="s">
        <v>63</v>
      </c>
      <c r="E91" s="14" t="n">
        <v>60</v>
      </c>
      <c r="F91" s="15" t="n">
        <v>0</v>
      </c>
      <c r="G91" s="16" t="s">
        <v>50</v>
      </c>
      <c r="H91" s="14" t="n">
        <v>0</v>
      </c>
      <c r="I91" s="17" t="s">
        <v>22</v>
      </c>
      <c r="J91" s="18" t="n">
        <v>750</v>
      </c>
      <c r="K91" s="15" t="n">
        <v>0</v>
      </c>
      <c r="L91" s="15" t="n">
        <f aca="false">F91*K91</f>
        <v>0</v>
      </c>
      <c r="M91" s="18" t="n">
        <v>0</v>
      </c>
      <c r="N91" s="20" t="n">
        <v>45000</v>
      </c>
    </row>
    <row r="92" customFormat="false" ht="14.25" hidden="false" customHeight="false" outlineLevel="0" collapsed="false">
      <c r="A92" s="21" t="n">
        <v>88</v>
      </c>
      <c r="B92" s="22" t="s">
        <v>204</v>
      </c>
      <c r="C92" s="22" t="s">
        <v>205</v>
      </c>
      <c r="D92" s="22" t="s">
        <v>206</v>
      </c>
      <c r="E92" s="23" t="n">
        <v>12000</v>
      </c>
      <c r="F92" s="15" t="n">
        <v>0</v>
      </c>
      <c r="G92" s="24" t="s">
        <v>21</v>
      </c>
      <c r="H92" s="23" t="n">
        <v>0</v>
      </c>
      <c r="I92" s="25" t="s">
        <v>22</v>
      </c>
      <c r="J92" s="26" t="n">
        <v>190000</v>
      </c>
      <c r="K92" s="15" t="n">
        <v>0</v>
      </c>
      <c r="L92" s="15" t="n">
        <f aca="false">F92*K92</f>
        <v>0</v>
      </c>
      <c r="M92" s="26" t="n">
        <v>0</v>
      </c>
      <c r="N92" s="27" t="n">
        <v>2280000000</v>
      </c>
    </row>
    <row r="93" customFormat="false" ht="14.25" hidden="false" customHeight="false" outlineLevel="0" collapsed="false">
      <c r="A93" s="12" t="n">
        <v>89</v>
      </c>
      <c r="B93" s="13" t="s">
        <v>207</v>
      </c>
      <c r="C93" s="13" t="s">
        <v>208</v>
      </c>
      <c r="D93" s="13" t="s">
        <v>206</v>
      </c>
      <c r="E93" s="14" t="n">
        <v>1569</v>
      </c>
      <c r="F93" s="15" t="n">
        <v>663</v>
      </c>
      <c r="G93" s="16" t="s">
        <v>81</v>
      </c>
      <c r="H93" s="14" t="n">
        <v>0</v>
      </c>
      <c r="I93" s="17" t="s">
        <v>22</v>
      </c>
      <c r="J93" s="18" t="n">
        <v>1187.05</v>
      </c>
      <c r="K93" s="19" t="n">
        <v>670</v>
      </c>
      <c r="L93" s="15" t="n">
        <f aca="false">F93*K93</f>
        <v>444210</v>
      </c>
      <c r="M93" s="18" t="n">
        <v>0</v>
      </c>
      <c r="N93" s="20" t="n">
        <v>1862481.45</v>
      </c>
    </row>
    <row r="94" customFormat="false" ht="14.25" hidden="false" customHeight="false" outlineLevel="0" collapsed="false">
      <c r="A94" s="21" t="n">
        <v>90</v>
      </c>
      <c r="B94" s="22" t="s">
        <v>209</v>
      </c>
      <c r="C94" s="22" t="s">
        <v>210</v>
      </c>
      <c r="D94" s="22" t="s">
        <v>206</v>
      </c>
      <c r="E94" s="23" t="n">
        <v>12</v>
      </c>
      <c r="F94" s="15" t="n">
        <v>6</v>
      </c>
      <c r="G94" s="24" t="s">
        <v>50</v>
      </c>
      <c r="H94" s="23" t="n">
        <v>0</v>
      </c>
      <c r="I94" s="25" t="s">
        <v>22</v>
      </c>
      <c r="J94" s="26" t="n">
        <v>16682</v>
      </c>
      <c r="K94" s="19" t="n">
        <v>16697.5</v>
      </c>
      <c r="L94" s="15" t="n">
        <f aca="false">F94*K94</f>
        <v>100185</v>
      </c>
      <c r="M94" s="26" t="n">
        <v>0</v>
      </c>
      <c r="N94" s="27" t="n">
        <v>200184</v>
      </c>
    </row>
    <row r="95" customFormat="false" ht="14.25" hidden="false" customHeight="false" outlineLevel="0" collapsed="false">
      <c r="A95" s="12" t="n">
        <v>91</v>
      </c>
      <c r="B95" s="13" t="s">
        <v>211</v>
      </c>
      <c r="C95" s="13" t="s">
        <v>212</v>
      </c>
      <c r="D95" s="13" t="s">
        <v>206</v>
      </c>
      <c r="E95" s="14" t="n">
        <v>125</v>
      </c>
      <c r="F95" s="15" t="n">
        <v>118</v>
      </c>
      <c r="G95" s="16" t="s">
        <v>50</v>
      </c>
      <c r="H95" s="14" t="n">
        <v>0</v>
      </c>
      <c r="I95" s="17" t="s">
        <v>22</v>
      </c>
      <c r="J95" s="18" t="n">
        <v>93000</v>
      </c>
      <c r="K95" s="19" t="n">
        <v>1409</v>
      </c>
      <c r="L95" s="15" t="n">
        <f aca="false">F95*K95</f>
        <v>166262</v>
      </c>
      <c r="M95" s="18" t="n">
        <v>0</v>
      </c>
      <c r="N95" s="20" t="n">
        <v>11625000</v>
      </c>
    </row>
    <row r="96" customFormat="false" ht="14.25" hidden="false" customHeight="false" outlineLevel="0" collapsed="false">
      <c r="A96" s="21" t="n">
        <v>92</v>
      </c>
      <c r="B96" s="22" t="s">
        <v>213</v>
      </c>
      <c r="C96" s="22" t="s">
        <v>214</v>
      </c>
      <c r="D96" s="22" t="s">
        <v>206</v>
      </c>
      <c r="E96" s="23" t="n">
        <v>2</v>
      </c>
      <c r="F96" s="15" t="n">
        <v>2</v>
      </c>
      <c r="G96" s="24" t="s">
        <v>50</v>
      </c>
      <c r="H96" s="23" t="n">
        <v>0</v>
      </c>
      <c r="I96" s="25" t="s">
        <v>22</v>
      </c>
      <c r="J96" s="26" t="n">
        <v>41300</v>
      </c>
      <c r="K96" s="19" t="n">
        <v>41300</v>
      </c>
      <c r="L96" s="15" t="n">
        <f aca="false">F96*K96</f>
        <v>82600</v>
      </c>
      <c r="M96" s="26" t="n">
        <v>0</v>
      </c>
      <c r="N96" s="27" t="n">
        <v>82600</v>
      </c>
    </row>
    <row r="97" customFormat="false" ht="14.25" hidden="false" customHeight="false" outlineLevel="0" collapsed="false">
      <c r="A97" s="12" t="n">
        <v>93</v>
      </c>
      <c r="B97" s="13" t="s">
        <v>215</v>
      </c>
      <c r="C97" s="13" t="s">
        <v>216</v>
      </c>
      <c r="D97" s="13" t="s">
        <v>206</v>
      </c>
      <c r="E97" s="14" t="n">
        <v>6</v>
      </c>
      <c r="F97" s="15" t="n">
        <v>0</v>
      </c>
      <c r="G97" s="16" t="s">
        <v>50</v>
      </c>
      <c r="H97" s="14" t="n">
        <v>0</v>
      </c>
      <c r="I97" s="17" t="s">
        <v>22</v>
      </c>
      <c r="J97" s="18" t="n">
        <v>33333.33</v>
      </c>
      <c r="K97" s="15" t="n">
        <v>0</v>
      </c>
      <c r="L97" s="15" t="n">
        <f aca="false">F97*K97</f>
        <v>0</v>
      </c>
      <c r="M97" s="18" t="n">
        <v>0</v>
      </c>
      <c r="N97" s="20" t="n">
        <v>199999.98</v>
      </c>
    </row>
    <row r="98" customFormat="false" ht="14.25" hidden="false" customHeight="false" outlineLevel="0" collapsed="false">
      <c r="A98" s="21" t="n">
        <v>94</v>
      </c>
      <c r="B98" s="22" t="s">
        <v>217</v>
      </c>
      <c r="C98" s="22" t="s">
        <v>218</v>
      </c>
      <c r="D98" s="22" t="s">
        <v>206</v>
      </c>
      <c r="E98" s="23" t="n">
        <v>11</v>
      </c>
      <c r="F98" s="15" t="n">
        <v>0</v>
      </c>
      <c r="G98" s="24" t="s">
        <v>50</v>
      </c>
      <c r="H98" s="23" t="n">
        <v>0</v>
      </c>
      <c r="I98" s="25" t="s">
        <v>22</v>
      </c>
      <c r="J98" s="26" t="n">
        <v>4363.64</v>
      </c>
      <c r="K98" s="15" t="n">
        <v>0</v>
      </c>
      <c r="L98" s="15" t="n">
        <f aca="false">F98*K98</f>
        <v>0</v>
      </c>
      <c r="M98" s="26" t="n">
        <v>0</v>
      </c>
      <c r="N98" s="27" t="n">
        <v>48000.04</v>
      </c>
    </row>
    <row r="99" customFormat="false" ht="14.25" hidden="false" customHeight="false" outlineLevel="0" collapsed="false">
      <c r="A99" s="12" t="n">
        <v>95</v>
      </c>
      <c r="B99" s="13" t="s">
        <v>219</v>
      </c>
      <c r="C99" s="13" t="s">
        <v>220</v>
      </c>
      <c r="D99" s="13" t="s">
        <v>206</v>
      </c>
      <c r="E99" s="14" t="n">
        <v>1</v>
      </c>
      <c r="F99" s="15" t="n">
        <v>0</v>
      </c>
      <c r="G99" s="16" t="s">
        <v>50</v>
      </c>
      <c r="H99" s="14" t="n">
        <v>0</v>
      </c>
      <c r="I99" s="17" t="s">
        <v>22</v>
      </c>
      <c r="J99" s="18" t="n">
        <v>175000</v>
      </c>
      <c r="K99" s="15" t="n">
        <v>0</v>
      </c>
      <c r="L99" s="15" t="n">
        <f aca="false">F99*K99</f>
        <v>0</v>
      </c>
      <c r="M99" s="18" t="n">
        <v>0</v>
      </c>
      <c r="N99" s="20" t="n">
        <v>175000</v>
      </c>
    </row>
    <row r="100" customFormat="false" ht="14.25" hidden="false" customHeight="false" outlineLevel="0" collapsed="false">
      <c r="A100" s="28" t="n">
        <v>96</v>
      </c>
      <c r="B100" s="29" t="s">
        <v>221</v>
      </c>
      <c r="C100" s="29" t="s">
        <v>222</v>
      </c>
      <c r="D100" s="29" t="s">
        <v>206</v>
      </c>
      <c r="E100" s="30" t="n">
        <v>0</v>
      </c>
      <c r="F100" s="15" t="n">
        <v>0</v>
      </c>
      <c r="G100" s="31" t="s">
        <v>50</v>
      </c>
      <c r="H100" s="30" t="n">
        <v>0</v>
      </c>
      <c r="I100" s="32" t="s">
        <v>29</v>
      </c>
      <c r="J100" s="33" t="n">
        <v>750</v>
      </c>
      <c r="K100" s="15" t="n">
        <v>0</v>
      </c>
      <c r="L100" s="15" t="n">
        <f aca="false">F100*K100</f>
        <v>0</v>
      </c>
      <c r="M100" s="33" t="n">
        <v>0</v>
      </c>
      <c r="N100" s="34" t="n">
        <v>0</v>
      </c>
    </row>
    <row r="101" customFormat="false" ht="14.25" hidden="false" customHeight="false" outlineLevel="0" collapsed="false">
      <c r="A101" s="12" t="n">
        <v>97</v>
      </c>
      <c r="B101" s="13" t="s">
        <v>223</v>
      </c>
      <c r="C101" s="13" t="s">
        <v>224</v>
      </c>
      <c r="D101" s="13" t="s">
        <v>206</v>
      </c>
      <c r="E101" s="14" t="n">
        <v>50</v>
      </c>
      <c r="F101" s="15" t="n">
        <v>0</v>
      </c>
      <c r="G101" s="16" t="s">
        <v>50</v>
      </c>
      <c r="H101" s="14" t="n">
        <v>0</v>
      </c>
      <c r="I101" s="17" t="s">
        <v>22</v>
      </c>
      <c r="J101" s="18" t="n">
        <v>5000</v>
      </c>
      <c r="K101" s="15" t="n">
        <v>0</v>
      </c>
      <c r="L101" s="15" t="n">
        <f aca="false">F101*K101</f>
        <v>0</v>
      </c>
      <c r="M101" s="18" t="n">
        <v>0</v>
      </c>
      <c r="N101" s="20" t="n">
        <v>250000</v>
      </c>
    </row>
    <row r="102" customFormat="false" ht="14.25" hidden="false" customHeight="false" outlineLevel="0" collapsed="false">
      <c r="A102" s="21" t="n">
        <v>98</v>
      </c>
      <c r="B102" s="22" t="s">
        <v>225</v>
      </c>
      <c r="C102" s="22" t="s">
        <v>226</v>
      </c>
      <c r="D102" s="22" t="s">
        <v>206</v>
      </c>
      <c r="E102" s="23" t="n">
        <v>47</v>
      </c>
      <c r="F102" s="15" t="n">
        <v>40</v>
      </c>
      <c r="G102" s="24" t="s">
        <v>50</v>
      </c>
      <c r="H102" s="23" t="n">
        <v>0</v>
      </c>
      <c r="I102" s="25" t="s">
        <v>22</v>
      </c>
      <c r="J102" s="26" t="n">
        <v>800</v>
      </c>
      <c r="K102" s="15" t="n">
        <v>250</v>
      </c>
      <c r="L102" s="15" t="n">
        <f aca="false">F102*K102</f>
        <v>10000</v>
      </c>
      <c r="M102" s="26" t="n">
        <v>0</v>
      </c>
      <c r="N102" s="27" t="n">
        <v>37600</v>
      </c>
    </row>
    <row r="103" customFormat="false" ht="14.25" hidden="false" customHeight="false" outlineLevel="0" collapsed="false">
      <c r="A103" s="12" t="n">
        <v>99</v>
      </c>
      <c r="B103" s="13" t="s">
        <v>227</v>
      </c>
      <c r="C103" s="13" t="s">
        <v>228</v>
      </c>
      <c r="D103" s="13" t="s">
        <v>206</v>
      </c>
      <c r="E103" s="14" t="n">
        <v>47</v>
      </c>
      <c r="F103" s="15" t="n">
        <v>42</v>
      </c>
      <c r="G103" s="16" t="s">
        <v>50</v>
      </c>
      <c r="H103" s="14" t="n">
        <v>0</v>
      </c>
      <c r="I103" s="17" t="s">
        <v>22</v>
      </c>
      <c r="J103" s="18" t="n">
        <v>800</v>
      </c>
      <c r="K103" s="15" t="n">
        <v>250</v>
      </c>
      <c r="L103" s="15" t="n">
        <f aca="false">F103*K103</f>
        <v>10500</v>
      </c>
      <c r="M103" s="18" t="n">
        <v>0</v>
      </c>
      <c r="N103" s="20" t="n">
        <v>37600</v>
      </c>
    </row>
    <row r="104" customFormat="false" ht="14.25" hidden="false" customHeight="false" outlineLevel="0" collapsed="false">
      <c r="A104" s="21" t="n">
        <v>100</v>
      </c>
      <c r="B104" s="22" t="s">
        <v>229</v>
      </c>
      <c r="C104" s="22" t="s">
        <v>230</v>
      </c>
      <c r="D104" s="22" t="s">
        <v>206</v>
      </c>
      <c r="E104" s="23" t="n">
        <v>48</v>
      </c>
      <c r="F104" s="15" t="n">
        <v>50</v>
      </c>
      <c r="G104" s="24" t="s">
        <v>50</v>
      </c>
      <c r="H104" s="23" t="n">
        <v>0</v>
      </c>
      <c r="I104" s="25" t="s">
        <v>22</v>
      </c>
      <c r="J104" s="26" t="n">
        <v>800</v>
      </c>
      <c r="K104" s="15" t="n">
        <v>300</v>
      </c>
      <c r="L104" s="15" t="n">
        <f aca="false">F104*K104</f>
        <v>15000</v>
      </c>
      <c r="M104" s="26" t="n">
        <v>0</v>
      </c>
      <c r="N104" s="27" t="n">
        <v>38400</v>
      </c>
    </row>
    <row r="105" customFormat="false" ht="14.25" hidden="false" customHeight="false" outlineLevel="0" collapsed="false">
      <c r="A105" s="12" t="n">
        <v>101</v>
      </c>
      <c r="B105" s="13" t="s">
        <v>231</v>
      </c>
      <c r="C105" s="13" t="s">
        <v>232</v>
      </c>
      <c r="D105" s="13" t="s">
        <v>206</v>
      </c>
      <c r="E105" s="14" t="n">
        <v>50</v>
      </c>
      <c r="F105" s="15" t="n">
        <v>46</v>
      </c>
      <c r="G105" s="16" t="s">
        <v>50</v>
      </c>
      <c r="H105" s="14" t="n">
        <v>0</v>
      </c>
      <c r="I105" s="17" t="s">
        <v>22</v>
      </c>
      <c r="J105" s="18" t="n">
        <v>1250</v>
      </c>
      <c r="K105" s="15" t="n">
        <v>375</v>
      </c>
      <c r="L105" s="15" t="n">
        <f aca="false">F105*K105</f>
        <v>17250</v>
      </c>
      <c r="M105" s="18" t="n">
        <v>0</v>
      </c>
      <c r="N105" s="20" t="n">
        <v>62500</v>
      </c>
    </row>
    <row r="106" customFormat="false" ht="14.25" hidden="false" customHeight="false" outlineLevel="0" collapsed="false">
      <c r="A106" s="21" t="n">
        <v>102</v>
      </c>
      <c r="B106" s="22" t="s">
        <v>233</v>
      </c>
      <c r="C106" s="22" t="s">
        <v>234</v>
      </c>
      <c r="D106" s="22" t="s">
        <v>206</v>
      </c>
      <c r="E106" s="23" t="n">
        <v>50</v>
      </c>
      <c r="F106" s="15" t="n">
        <v>46</v>
      </c>
      <c r="G106" s="24" t="s">
        <v>50</v>
      </c>
      <c r="H106" s="23" t="n">
        <v>0</v>
      </c>
      <c r="I106" s="25" t="s">
        <v>22</v>
      </c>
      <c r="J106" s="26" t="n">
        <v>1250</v>
      </c>
      <c r="K106" s="15" t="n">
        <v>375</v>
      </c>
      <c r="L106" s="15" t="n">
        <f aca="false">F106*K106</f>
        <v>17250</v>
      </c>
      <c r="M106" s="26" t="n">
        <v>0</v>
      </c>
      <c r="N106" s="27" t="n">
        <v>62500</v>
      </c>
    </row>
    <row r="107" customFormat="false" ht="14.25" hidden="false" customHeight="false" outlineLevel="0" collapsed="false">
      <c r="A107" s="12" t="n">
        <v>103</v>
      </c>
      <c r="B107" s="13" t="s">
        <v>235</v>
      </c>
      <c r="C107" s="13" t="s">
        <v>236</v>
      </c>
      <c r="D107" s="13" t="s">
        <v>206</v>
      </c>
      <c r="E107" s="14" t="n">
        <v>50</v>
      </c>
      <c r="F107" s="15" t="n">
        <v>83</v>
      </c>
      <c r="G107" s="16" t="s">
        <v>50</v>
      </c>
      <c r="H107" s="14" t="n">
        <v>0</v>
      </c>
      <c r="I107" s="17" t="s">
        <v>22</v>
      </c>
      <c r="J107" s="18" t="n">
        <v>1250</v>
      </c>
      <c r="K107" s="15" t="n">
        <v>500</v>
      </c>
      <c r="L107" s="15" t="n">
        <f aca="false">F107*K107</f>
        <v>41500</v>
      </c>
      <c r="M107" s="18" t="n">
        <v>0</v>
      </c>
      <c r="N107" s="20" t="n">
        <v>62500</v>
      </c>
    </row>
    <row r="108" customFormat="false" ht="14.25" hidden="false" customHeight="false" outlineLevel="0" collapsed="false">
      <c r="A108" s="21" t="n">
        <v>104</v>
      </c>
      <c r="B108" s="22" t="s">
        <v>237</v>
      </c>
      <c r="C108" s="22" t="s">
        <v>238</v>
      </c>
      <c r="D108" s="22" t="s">
        <v>206</v>
      </c>
      <c r="E108" s="23" t="n">
        <v>46</v>
      </c>
      <c r="F108" s="15" t="n">
        <v>42</v>
      </c>
      <c r="G108" s="24" t="s">
        <v>50</v>
      </c>
      <c r="H108" s="23" t="n">
        <v>0</v>
      </c>
      <c r="I108" s="25" t="s">
        <v>22</v>
      </c>
      <c r="J108" s="26" t="n">
        <v>2500</v>
      </c>
      <c r="K108" s="15" t="n">
        <v>750</v>
      </c>
      <c r="L108" s="15" t="n">
        <f aca="false">F108*K108</f>
        <v>31500</v>
      </c>
      <c r="M108" s="26" t="n">
        <v>0</v>
      </c>
      <c r="N108" s="27" t="n">
        <v>115000</v>
      </c>
    </row>
    <row r="109" customFormat="false" ht="14.25" hidden="false" customHeight="false" outlineLevel="0" collapsed="false">
      <c r="A109" s="12" t="n">
        <v>105</v>
      </c>
      <c r="B109" s="13" t="s">
        <v>239</v>
      </c>
      <c r="C109" s="13" t="s">
        <v>240</v>
      </c>
      <c r="D109" s="13" t="s">
        <v>206</v>
      </c>
      <c r="E109" s="14" t="n">
        <v>53</v>
      </c>
      <c r="F109" s="15" t="n">
        <v>53</v>
      </c>
      <c r="G109" s="16" t="s">
        <v>50</v>
      </c>
      <c r="H109" s="14" t="n">
        <v>0</v>
      </c>
      <c r="I109" s="17" t="s">
        <v>22</v>
      </c>
      <c r="J109" s="18" t="n">
        <v>2500</v>
      </c>
      <c r="K109" s="15" t="n">
        <v>750</v>
      </c>
      <c r="L109" s="15" t="n">
        <f aca="false">F109*K109</f>
        <v>39750</v>
      </c>
      <c r="M109" s="18" t="n">
        <v>0</v>
      </c>
      <c r="N109" s="20" t="n">
        <v>132500</v>
      </c>
    </row>
    <row r="110" customFormat="false" ht="14.25" hidden="false" customHeight="false" outlineLevel="0" collapsed="false">
      <c r="A110" s="21" t="n">
        <v>106</v>
      </c>
      <c r="B110" s="22" t="s">
        <v>241</v>
      </c>
      <c r="C110" s="22" t="s">
        <v>242</v>
      </c>
      <c r="D110" s="22" t="s">
        <v>206</v>
      </c>
      <c r="E110" s="23" t="n">
        <v>46</v>
      </c>
      <c r="F110" s="15" t="n">
        <v>25</v>
      </c>
      <c r="G110" s="24" t="s">
        <v>50</v>
      </c>
      <c r="H110" s="23" t="n">
        <v>0</v>
      </c>
      <c r="I110" s="25" t="s">
        <v>22</v>
      </c>
      <c r="J110" s="26" t="n">
        <v>2500</v>
      </c>
      <c r="K110" s="15" t="n">
        <v>1000</v>
      </c>
      <c r="L110" s="15" t="n">
        <f aca="false">F110*K110</f>
        <v>25000</v>
      </c>
      <c r="M110" s="26" t="n">
        <v>0</v>
      </c>
      <c r="N110" s="27" t="n">
        <v>115000</v>
      </c>
    </row>
    <row r="111" customFormat="false" ht="14.25" hidden="false" customHeight="false" outlineLevel="0" collapsed="false">
      <c r="A111" s="28" t="n">
        <v>107</v>
      </c>
      <c r="B111" s="29" t="s">
        <v>243</v>
      </c>
      <c r="C111" s="29" t="s">
        <v>244</v>
      </c>
      <c r="D111" s="29" t="s">
        <v>206</v>
      </c>
      <c r="E111" s="30" t="n">
        <v>0</v>
      </c>
      <c r="F111" s="15" t="n">
        <v>50</v>
      </c>
      <c r="G111" s="31" t="s">
        <v>50</v>
      </c>
      <c r="H111" s="30" t="n">
        <v>0</v>
      </c>
      <c r="I111" s="32" t="s">
        <v>29</v>
      </c>
      <c r="J111" s="33" t="n">
        <v>0</v>
      </c>
      <c r="K111" s="15" t="n">
        <v>375</v>
      </c>
      <c r="L111" s="15" t="n">
        <f aca="false">F111*K111</f>
        <v>18750</v>
      </c>
      <c r="M111" s="33" t="n">
        <v>0</v>
      </c>
      <c r="N111" s="34" t="n">
        <v>0</v>
      </c>
    </row>
    <row r="112" customFormat="false" ht="14.25" hidden="false" customHeight="false" outlineLevel="0" collapsed="false">
      <c r="A112" s="28" t="n">
        <v>108</v>
      </c>
      <c r="B112" s="29" t="s">
        <v>245</v>
      </c>
      <c r="C112" s="29" t="s">
        <v>246</v>
      </c>
      <c r="D112" s="29" t="s">
        <v>206</v>
      </c>
      <c r="E112" s="30" t="n">
        <v>0</v>
      </c>
      <c r="F112" s="15" t="n">
        <v>50</v>
      </c>
      <c r="G112" s="31" t="s">
        <v>50</v>
      </c>
      <c r="H112" s="30" t="n">
        <v>0</v>
      </c>
      <c r="I112" s="32" t="s">
        <v>29</v>
      </c>
      <c r="J112" s="33" t="n">
        <v>0</v>
      </c>
      <c r="K112" s="15" t="n">
        <v>375</v>
      </c>
      <c r="L112" s="15" t="n">
        <f aca="false">F112*K112</f>
        <v>18750</v>
      </c>
      <c r="M112" s="33" t="n">
        <v>0</v>
      </c>
      <c r="N112" s="34" t="n">
        <v>0</v>
      </c>
    </row>
    <row r="113" customFormat="false" ht="14.25" hidden="false" customHeight="false" outlineLevel="0" collapsed="false">
      <c r="A113" s="28" t="n">
        <v>109</v>
      </c>
      <c r="B113" s="29" t="s">
        <v>247</v>
      </c>
      <c r="C113" s="29" t="s">
        <v>248</v>
      </c>
      <c r="D113" s="29" t="s">
        <v>206</v>
      </c>
      <c r="E113" s="30" t="n">
        <v>0</v>
      </c>
      <c r="F113" s="15" t="n">
        <v>3</v>
      </c>
      <c r="G113" s="31" t="s">
        <v>81</v>
      </c>
      <c r="H113" s="30" t="n">
        <v>0</v>
      </c>
      <c r="I113" s="32" t="s">
        <v>29</v>
      </c>
      <c r="J113" s="33" t="n">
        <v>0</v>
      </c>
      <c r="K113" s="15" t="n">
        <v>465000</v>
      </c>
      <c r="L113" s="15" t="n">
        <f aca="false">F113*K113</f>
        <v>1395000</v>
      </c>
      <c r="M113" s="33" t="n">
        <v>0</v>
      </c>
      <c r="N113" s="34" t="n">
        <v>0</v>
      </c>
    </row>
    <row r="114" customFormat="false" ht="14.25" hidden="false" customHeight="false" outlineLevel="0" collapsed="false">
      <c r="A114" s="28" t="n">
        <v>110</v>
      </c>
      <c r="B114" s="29" t="s">
        <v>249</v>
      </c>
      <c r="C114" s="29" t="s">
        <v>250</v>
      </c>
      <c r="D114" s="29" t="s">
        <v>206</v>
      </c>
      <c r="E114" s="30" t="n">
        <v>0</v>
      </c>
      <c r="F114" s="15" t="n">
        <v>0</v>
      </c>
      <c r="G114" s="31" t="s">
        <v>251</v>
      </c>
      <c r="H114" s="30" t="n">
        <v>0</v>
      </c>
      <c r="I114" s="32" t="s">
        <v>29</v>
      </c>
      <c r="J114" s="33" t="n">
        <v>0</v>
      </c>
      <c r="K114" s="15" t="n">
        <v>80000</v>
      </c>
      <c r="L114" s="15" t="n">
        <f aca="false">F114*K114</f>
        <v>0</v>
      </c>
      <c r="M114" s="33" t="n">
        <v>0</v>
      </c>
      <c r="N114" s="34" t="n">
        <v>0</v>
      </c>
    </row>
    <row r="115" customFormat="false" ht="14.25" hidden="false" customHeight="false" outlineLevel="0" collapsed="false">
      <c r="A115" s="28" t="n">
        <v>111</v>
      </c>
      <c r="B115" s="29" t="s">
        <v>252</v>
      </c>
      <c r="C115" s="29" t="s">
        <v>253</v>
      </c>
      <c r="D115" s="29" t="s">
        <v>206</v>
      </c>
      <c r="E115" s="30" t="n">
        <v>0</v>
      </c>
      <c r="F115" s="15" t="n">
        <v>0</v>
      </c>
      <c r="G115" s="31" t="s">
        <v>251</v>
      </c>
      <c r="H115" s="30" t="n">
        <v>0</v>
      </c>
      <c r="I115" s="32" t="s">
        <v>29</v>
      </c>
      <c r="J115" s="33" t="n">
        <v>0</v>
      </c>
      <c r="K115" s="15" t="n">
        <v>300000</v>
      </c>
      <c r="L115" s="15" t="n">
        <f aca="false">F115*K115</f>
        <v>0</v>
      </c>
      <c r="M115" s="33" t="n">
        <v>0</v>
      </c>
      <c r="N115" s="34" t="n">
        <v>0</v>
      </c>
    </row>
    <row r="116" customFormat="false" ht="14.25" hidden="false" customHeight="false" outlineLevel="0" collapsed="false">
      <c r="A116" s="21" t="n">
        <v>112</v>
      </c>
      <c r="B116" s="22" t="s">
        <v>254</v>
      </c>
      <c r="C116" s="22" t="s">
        <v>255</v>
      </c>
      <c r="D116" s="22" t="s">
        <v>256</v>
      </c>
      <c r="E116" s="23" t="n">
        <v>4</v>
      </c>
      <c r="F116" s="15" t="n">
        <v>0</v>
      </c>
      <c r="G116" s="24" t="s">
        <v>50</v>
      </c>
      <c r="H116" s="23" t="n">
        <v>0</v>
      </c>
      <c r="I116" s="25" t="s">
        <v>22</v>
      </c>
      <c r="J116" s="26" t="n">
        <v>10000</v>
      </c>
      <c r="K116" s="15" t="n">
        <v>0</v>
      </c>
      <c r="L116" s="15" t="n">
        <f aca="false">F116*K116</f>
        <v>0</v>
      </c>
      <c r="M116" s="26" t="n">
        <v>0</v>
      </c>
      <c r="N116" s="27" t="n">
        <v>40000</v>
      </c>
    </row>
    <row r="117" customFormat="false" ht="14.25" hidden="false" customHeight="false" outlineLevel="0" collapsed="false">
      <c r="A117" s="12" t="n">
        <v>113</v>
      </c>
      <c r="B117" s="13" t="s">
        <v>257</v>
      </c>
      <c r="C117" s="13" t="s">
        <v>258</v>
      </c>
      <c r="D117" s="13" t="s">
        <v>256</v>
      </c>
      <c r="E117" s="14" t="n">
        <v>4</v>
      </c>
      <c r="F117" s="15" t="n">
        <v>0</v>
      </c>
      <c r="G117" s="16" t="s">
        <v>50</v>
      </c>
      <c r="H117" s="14" t="n">
        <v>0</v>
      </c>
      <c r="I117" s="17" t="s">
        <v>22</v>
      </c>
      <c r="J117" s="18" t="n">
        <v>177600</v>
      </c>
      <c r="K117" s="15" t="n">
        <v>177600</v>
      </c>
      <c r="L117" s="15" t="n">
        <f aca="false">F117*K117</f>
        <v>0</v>
      </c>
      <c r="M117" s="18" t="n">
        <v>0</v>
      </c>
      <c r="N117" s="20" t="n">
        <v>710400</v>
      </c>
    </row>
    <row r="118" customFormat="false" ht="14.25" hidden="false" customHeight="false" outlineLevel="0" collapsed="false">
      <c r="A118" s="21" t="n">
        <v>114</v>
      </c>
      <c r="B118" s="22" t="s">
        <v>259</v>
      </c>
      <c r="C118" s="22" t="s">
        <v>260</v>
      </c>
      <c r="D118" s="22" t="s">
        <v>261</v>
      </c>
      <c r="E118" s="23" t="n">
        <v>3905.92</v>
      </c>
      <c r="F118" s="15" t="n">
        <v>3473.12</v>
      </c>
      <c r="G118" s="24" t="s">
        <v>21</v>
      </c>
      <c r="H118" s="23" t="n">
        <v>0</v>
      </c>
      <c r="I118" s="25" t="s">
        <v>22</v>
      </c>
      <c r="J118" s="26" t="n">
        <v>403.05</v>
      </c>
      <c r="K118" s="15" t="n">
        <v>370.385818561001</v>
      </c>
      <c r="L118" s="15" t="n">
        <f aca="false">F118*K118</f>
        <v>1286394.39416058</v>
      </c>
      <c r="M118" s="26" t="n">
        <v>0</v>
      </c>
      <c r="N118" s="27" t="n">
        <v>1574281.056</v>
      </c>
    </row>
    <row r="119" customFormat="false" ht="14.25" hidden="false" customHeight="false" outlineLevel="0" collapsed="false">
      <c r="A119" s="12" t="n">
        <v>115</v>
      </c>
      <c r="B119" s="13" t="s">
        <v>262</v>
      </c>
      <c r="C119" s="13" t="s">
        <v>263</v>
      </c>
      <c r="D119" s="13" t="s">
        <v>261</v>
      </c>
      <c r="E119" s="14" t="n">
        <v>1112.2</v>
      </c>
      <c r="F119" s="15" t="n">
        <v>890.72</v>
      </c>
      <c r="G119" s="16" t="s">
        <v>21</v>
      </c>
      <c r="H119" s="14" t="n">
        <v>0</v>
      </c>
      <c r="I119" s="17" t="s">
        <v>22</v>
      </c>
      <c r="J119" s="18" t="n">
        <v>905.78</v>
      </c>
      <c r="K119" s="15" t="n">
        <v>812.710616130771</v>
      </c>
      <c r="L119" s="15" t="n">
        <f aca="false">F119*K119</f>
        <v>723897.6</v>
      </c>
      <c r="M119" s="18" t="n">
        <v>0</v>
      </c>
      <c r="N119" s="20" t="n">
        <v>1007408.516</v>
      </c>
    </row>
    <row r="120" customFormat="false" ht="14.25" hidden="false" customHeight="false" outlineLevel="0" collapsed="false">
      <c r="A120" s="28" t="n">
        <v>116</v>
      </c>
      <c r="B120" s="29" t="s">
        <v>264</v>
      </c>
      <c r="C120" s="29" t="s">
        <v>265</v>
      </c>
      <c r="D120" s="29" t="s">
        <v>261</v>
      </c>
      <c r="E120" s="30" t="n">
        <v>0</v>
      </c>
      <c r="F120" s="15" t="n">
        <v>0</v>
      </c>
      <c r="G120" s="31" t="s">
        <v>21</v>
      </c>
      <c r="H120" s="30" t="n">
        <v>0</v>
      </c>
      <c r="I120" s="32" t="s">
        <v>29</v>
      </c>
      <c r="J120" s="33" t="n">
        <v>492.22</v>
      </c>
      <c r="K120" s="15" t="n">
        <v>0</v>
      </c>
      <c r="L120" s="15" t="n">
        <f aca="false">F120*K120</f>
        <v>0</v>
      </c>
      <c r="M120" s="33" t="n">
        <v>0</v>
      </c>
      <c r="N120" s="34" t="n">
        <v>0</v>
      </c>
    </row>
    <row r="121" customFormat="false" ht="14.25" hidden="false" customHeight="false" outlineLevel="0" collapsed="false">
      <c r="A121" s="12" t="n">
        <v>117</v>
      </c>
      <c r="B121" s="13" t="s">
        <v>266</v>
      </c>
      <c r="C121" s="13" t="s">
        <v>267</v>
      </c>
      <c r="D121" s="13" t="s">
        <v>261</v>
      </c>
      <c r="E121" s="14" t="n">
        <v>1381.75</v>
      </c>
      <c r="F121" s="15" t="n">
        <v>645.62</v>
      </c>
      <c r="G121" s="16" t="s">
        <v>21</v>
      </c>
      <c r="H121" s="14" t="n">
        <v>0</v>
      </c>
      <c r="I121" s="17" t="s">
        <v>22</v>
      </c>
      <c r="J121" s="18" t="n">
        <v>466.56</v>
      </c>
      <c r="K121" s="15" t="n">
        <v>609.311979182801</v>
      </c>
      <c r="L121" s="15" t="n">
        <f aca="false">F121*K121</f>
        <v>393384</v>
      </c>
      <c r="M121" s="18" t="n">
        <v>0</v>
      </c>
      <c r="N121" s="20" t="n">
        <v>644669.28</v>
      </c>
    </row>
    <row r="122" customFormat="false" ht="14.25" hidden="false" customHeight="false" outlineLevel="0" collapsed="false">
      <c r="A122" s="21" t="n">
        <v>118</v>
      </c>
      <c r="B122" s="22" t="s">
        <v>268</v>
      </c>
      <c r="C122" s="22" t="s">
        <v>269</v>
      </c>
      <c r="D122" s="22" t="s">
        <v>261</v>
      </c>
      <c r="E122" s="23" t="n">
        <v>1181.51</v>
      </c>
      <c r="F122" s="15" t="n">
        <v>929.92</v>
      </c>
      <c r="G122" s="24" t="s">
        <v>21</v>
      </c>
      <c r="H122" s="23" t="n">
        <v>0</v>
      </c>
      <c r="I122" s="25" t="s">
        <v>22</v>
      </c>
      <c r="J122" s="26" t="n">
        <v>494.89</v>
      </c>
      <c r="K122" s="15" t="n">
        <v>425.321748107364</v>
      </c>
      <c r="L122" s="15" t="n">
        <f aca="false">F122*K122</f>
        <v>395515.2</v>
      </c>
      <c r="M122" s="26" t="n">
        <v>0</v>
      </c>
      <c r="N122" s="27" t="n">
        <v>584717.4839</v>
      </c>
    </row>
    <row r="123" customFormat="false" ht="14.25" hidden="false" customHeight="false" outlineLevel="0" collapsed="false">
      <c r="A123" s="12" t="n">
        <v>119</v>
      </c>
      <c r="B123" s="13" t="s">
        <v>270</v>
      </c>
      <c r="C123" s="13" t="s">
        <v>271</v>
      </c>
      <c r="D123" s="13" t="s">
        <v>261</v>
      </c>
      <c r="E123" s="14" t="n">
        <v>1207.53</v>
      </c>
      <c r="F123" s="15" t="n">
        <v>961.82</v>
      </c>
      <c r="G123" s="16" t="s">
        <v>21</v>
      </c>
      <c r="H123" s="14" t="n">
        <v>0</v>
      </c>
      <c r="I123" s="17" t="s">
        <v>22</v>
      </c>
      <c r="J123" s="18" t="n">
        <v>1008</v>
      </c>
      <c r="K123" s="15" t="n">
        <v>837.572102888274</v>
      </c>
      <c r="L123" s="15" t="n">
        <f aca="false">F123*K123</f>
        <v>805593.6</v>
      </c>
      <c r="M123" s="18" t="n">
        <v>0</v>
      </c>
      <c r="N123" s="20" t="n">
        <v>1217190.24</v>
      </c>
    </row>
    <row r="124" customFormat="false" ht="14.25" hidden="false" customHeight="false" outlineLevel="0" collapsed="false">
      <c r="A124" s="21" t="n">
        <v>120</v>
      </c>
      <c r="B124" s="22" t="s">
        <v>272</v>
      </c>
      <c r="C124" s="22" t="s">
        <v>273</v>
      </c>
      <c r="D124" s="22" t="s">
        <v>261</v>
      </c>
      <c r="E124" s="23" t="n">
        <v>1166.6</v>
      </c>
      <c r="F124" s="15" t="n">
        <v>924.82</v>
      </c>
      <c r="G124" s="24" t="s">
        <v>21</v>
      </c>
      <c r="H124" s="23" t="n">
        <v>0</v>
      </c>
      <c r="I124" s="25" t="s">
        <v>22</v>
      </c>
      <c r="J124" s="26" t="n">
        <v>528.44</v>
      </c>
      <c r="K124" s="15" t="n">
        <v>456.664864514176</v>
      </c>
      <c r="L124" s="15" t="n">
        <f aca="false">F124*K124</f>
        <v>422332.8</v>
      </c>
      <c r="M124" s="26" t="n">
        <v>0</v>
      </c>
      <c r="N124" s="27" t="n">
        <v>616478.104</v>
      </c>
    </row>
    <row r="125" customFormat="false" ht="14.25" hidden="false" customHeight="false" outlineLevel="0" collapsed="false">
      <c r="A125" s="12" t="n">
        <v>121</v>
      </c>
      <c r="B125" s="13" t="s">
        <v>274</v>
      </c>
      <c r="C125" s="13" t="s">
        <v>275</v>
      </c>
      <c r="D125" s="13" t="s">
        <v>261</v>
      </c>
      <c r="E125" s="14" t="n">
        <v>887.95</v>
      </c>
      <c r="F125" s="15" t="n">
        <v>558.22</v>
      </c>
      <c r="G125" s="16" t="s">
        <v>21</v>
      </c>
      <c r="H125" s="14" t="n">
        <v>0</v>
      </c>
      <c r="I125" s="17" t="s">
        <v>22</v>
      </c>
      <c r="J125" s="18" t="n">
        <v>623.78</v>
      </c>
      <c r="K125" s="15" t="n">
        <v>893.058650711189</v>
      </c>
      <c r="L125" s="15" t="n">
        <f aca="false">F125*K125</f>
        <v>498523.2</v>
      </c>
      <c r="M125" s="18" t="n">
        <v>0</v>
      </c>
      <c r="N125" s="20" t="n">
        <v>553885.451</v>
      </c>
    </row>
    <row r="126" customFormat="false" ht="14.25" hidden="false" customHeight="false" outlineLevel="0" collapsed="false">
      <c r="A126" s="21" t="n">
        <v>122</v>
      </c>
      <c r="B126" s="22" t="s">
        <v>276</v>
      </c>
      <c r="C126" s="22" t="s">
        <v>277</v>
      </c>
      <c r="D126" s="22" t="s">
        <v>261</v>
      </c>
      <c r="E126" s="23" t="n">
        <v>1191.09</v>
      </c>
      <c r="F126" s="15" t="n">
        <v>946.92</v>
      </c>
      <c r="G126" s="24" t="s">
        <v>21</v>
      </c>
      <c r="H126" s="23" t="n">
        <v>0</v>
      </c>
      <c r="I126" s="25" t="s">
        <v>22</v>
      </c>
      <c r="J126" s="26" t="n">
        <v>1184.67</v>
      </c>
      <c r="K126" s="15" t="n">
        <v>999.858066151312</v>
      </c>
      <c r="L126" s="15" t="n">
        <f aca="false">F126*K126</f>
        <v>946785.6</v>
      </c>
      <c r="M126" s="26" t="n">
        <v>0</v>
      </c>
      <c r="N126" s="27" t="n">
        <v>1411048.5903</v>
      </c>
    </row>
    <row r="127" customFormat="false" ht="14.25" hidden="false" customHeight="false" outlineLevel="0" collapsed="false">
      <c r="A127" s="12" t="n">
        <v>123</v>
      </c>
      <c r="B127" s="13" t="s">
        <v>278</v>
      </c>
      <c r="C127" s="13" t="s">
        <v>279</v>
      </c>
      <c r="D127" s="13" t="s">
        <v>261</v>
      </c>
      <c r="E127" s="14" t="n">
        <v>1083.29</v>
      </c>
      <c r="F127" s="15" t="n">
        <v>810.02</v>
      </c>
      <c r="G127" s="16" t="s">
        <v>21</v>
      </c>
      <c r="H127" s="14" t="n">
        <v>0</v>
      </c>
      <c r="I127" s="17" t="s">
        <v>22</v>
      </c>
      <c r="J127" s="18" t="n">
        <v>763.56</v>
      </c>
      <c r="K127" s="15" t="n">
        <v>753.356213426829</v>
      </c>
      <c r="L127" s="15" t="n">
        <f aca="false">F127*K127</f>
        <v>610233.6</v>
      </c>
      <c r="M127" s="18" t="n">
        <v>0</v>
      </c>
      <c r="N127" s="20" t="n">
        <v>827156.9124</v>
      </c>
    </row>
    <row r="128" customFormat="false" ht="14.25" hidden="false" customHeight="false" outlineLevel="0" collapsed="false">
      <c r="A128" s="21" t="n">
        <v>124</v>
      </c>
      <c r="B128" s="22" t="s">
        <v>280</v>
      </c>
      <c r="C128" s="22" t="s">
        <v>281</v>
      </c>
      <c r="D128" s="22" t="s">
        <v>261</v>
      </c>
      <c r="E128" s="23" t="n">
        <v>1211.6</v>
      </c>
      <c r="F128" s="15" t="n">
        <v>966.42</v>
      </c>
      <c r="G128" s="24" t="s">
        <v>21</v>
      </c>
      <c r="H128" s="23" t="n">
        <v>0</v>
      </c>
      <c r="I128" s="25" t="s">
        <v>22</v>
      </c>
      <c r="J128" s="26" t="n">
        <v>561.11</v>
      </c>
      <c r="K128" s="15" t="n">
        <v>464.021853852362</v>
      </c>
      <c r="L128" s="15" t="n">
        <f aca="false">F128*K128</f>
        <v>448440</v>
      </c>
      <c r="M128" s="26" t="n">
        <v>0</v>
      </c>
      <c r="N128" s="27" t="n">
        <v>679840.876</v>
      </c>
    </row>
    <row r="129" customFormat="false" ht="14.25" hidden="false" customHeight="false" outlineLevel="0" collapsed="false">
      <c r="A129" s="12" t="n">
        <v>125</v>
      </c>
      <c r="B129" s="13" t="s">
        <v>282</v>
      </c>
      <c r="C129" s="13" t="s">
        <v>283</v>
      </c>
      <c r="D129" s="13" t="s">
        <v>261</v>
      </c>
      <c r="E129" s="14" t="n">
        <v>1200.12</v>
      </c>
      <c r="F129" s="15" t="n">
        <v>948.22</v>
      </c>
      <c r="G129" s="16" t="s">
        <v>21</v>
      </c>
      <c r="H129" s="14" t="n">
        <v>0</v>
      </c>
      <c r="I129" s="17" t="s">
        <v>22</v>
      </c>
      <c r="J129" s="18" t="n">
        <v>747.11</v>
      </c>
      <c r="K129" s="15" t="n">
        <v>629.696905781359</v>
      </c>
      <c r="L129" s="15" t="n">
        <f aca="false">F129*K129</f>
        <v>597091.2</v>
      </c>
      <c r="M129" s="18" t="n">
        <v>0</v>
      </c>
      <c r="N129" s="20" t="n">
        <v>896621.6532</v>
      </c>
    </row>
    <row r="130" customFormat="false" ht="14.25" hidden="false" customHeight="false" outlineLevel="0" collapsed="false">
      <c r="A130" s="21" t="n">
        <v>126</v>
      </c>
      <c r="B130" s="22" t="s">
        <v>284</v>
      </c>
      <c r="C130" s="22" t="s">
        <v>285</v>
      </c>
      <c r="D130" s="22" t="s">
        <v>261</v>
      </c>
      <c r="E130" s="23" t="n">
        <v>1201.22</v>
      </c>
      <c r="F130" s="15" t="n">
        <v>945.12</v>
      </c>
      <c r="G130" s="24" t="s">
        <v>21</v>
      </c>
      <c r="H130" s="23" t="n">
        <v>0</v>
      </c>
      <c r="I130" s="25" t="s">
        <v>22</v>
      </c>
      <c r="J130" s="26" t="n">
        <v>747.11</v>
      </c>
      <c r="K130" s="15" t="n">
        <v>631.762315896394</v>
      </c>
      <c r="L130" s="15" t="n">
        <f aca="false">F130*K130</f>
        <v>597091.2</v>
      </c>
      <c r="M130" s="26" t="n">
        <v>0</v>
      </c>
      <c r="N130" s="27" t="n">
        <v>897443.4742</v>
      </c>
    </row>
    <row r="131" customFormat="false" ht="14.25" hidden="false" customHeight="false" outlineLevel="0" collapsed="false">
      <c r="A131" s="12" t="n">
        <v>127</v>
      </c>
      <c r="B131" s="13" t="s">
        <v>286</v>
      </c>
      <c r="C131" s="13" t="s">
        <v>287</v>
      </c>
      <c r="D131" s="13" t="s">
        <v>261</v>
      </c>
      <c r="E131" s="14" t="n">
        <v>1145.07</v>
      </c>
      <c r="F131" s="15" t="n">
        <v>883.32</v>
      </c>
      <c r="G131" s="16" t="s">
        <v>21</v>
      </c>
      <c r="H131" s="14" t="n">
        <v>0</v>
      </c>
      <c r="I131" s="17" t="s">
        <v>22</v>
      </c>
      <c r="J131" s="18" t="n">
        <v>686.89</v>
      </c>
      <c r="K131" s="15" t="n">
        <v>621.475343024046</v>
      </c>
      <c r="L131" s="15" t="n">
        <f aca="false">F131*K131</f>
        <v>548961.6</v>
      </c>
      <c r="M131" s="18" t="n">
        <v>0</v>
      </c>
      <c r="N131" s="20" t="n">
        <v>786537.1323</v>
      </c>
    </row>
    <row r="132" customFormat="false" ht="14.25" hidden="false" customHeight="false" outlineLevel="0" collapsed="false">
      <c r="A132" s="21" t="n">
        <v>128</v>
      </c>
      <c r="B132" s="22" t="s">
        <v>288</v>
      </c>
      <c r="C132" s="22" t="s">
        <v>289</v>
      </c>
      <c r="D132" s="22" t="s">
        <v>261</v>
      </c>
      <c r="E132" s="23" t="n">
        <v>1122.02</v>
      </c>
      <c r="F132" s="15" t="n">
        <v>906.42</v>
      </c>
      <c r="G132" s="24" t="s">
        <v>21</v>
      </c>
      <c r="H132" s="23" t="n">
        <v>0</v>
      </c>
      <c r="I132" s="25" t="s">
        <v>22</v>
      </c>
      <c r="J132" s="26" t="n">
        <v>528.44</v>
      </c>
      <c r="K132" s="15" t="n">
        <v>465.934997021248</v>
      </c>
      <c r="L132" s="15" t="n">
        <f aca="false">F132*K132</f>
        <v>422332.8</v>
      </c>
      <c r="M132" s="26" t="n">
        <v>0</v>
      </c>
      <c r="N132" s="27" t="n">
        <v>592920.2488</v>
      </c>
    </row>
    <row r="133" customFormat="false" ht="14.25" hidden="false" customHeight="false" outlineLevel="0" collapsed="false">
      <c r="A133" s="12" t="n">
        <v>129</v>
      </c>
      <c r="B133" s="13" t="s">
        <v>290</v>
      </c>
      <c r="C133" s="13" t="s">
        <v>291</v>
      </c>
      <c r="D133" s="13" t="s">
        <v>261</v>
      </c>
      <c r="E133" s="14" t="n">
        <v>1212.7</v>
      </c>
      <c r="F133" s="15" t="n">
        <v>971.92</v>
      </c>
      <c r="G133" s="16" t="s">
        <v>21</v>
      </c>
      <c r="H133" s="14" t="n">
        <v>0</v>
      </c>
      <c r="I133" s="17" t="s">
        <v>22</v>
      </c>
      <c r="J133" s="18" t="n">
        <v>673.11</v>
      </c>
      <c r="K133" s="15" t="n">
        <v>553.492468515927</v>
      </c>
      <c r="L133" s="15" t="n">
        <f aca="false">F133*K133</f>
        <v>537950.4</v>
      </c>
      <c r="M133" s="18" t="n">
        <v>0</v>
      </c>
      <c r="N133" s="20" t="n">
        <v>816280.497</v>
      </c>
    </row>
    <row r="134" customFormat="false" ht="14.25" hidden="false" customHeight="false" outlineLevel="0" collapsed="false">
      <c r="A134" s="21" t="n">
        <v>130</v>
      </c>
      <c r="B134" s="22" t="s">
        <v>292</v>
      </c>
      <c r="C134" s="22" t="s">
        <v>293</v>
      </c>
      <c r="D134" s="22" t="s">
        <v>261</v>
      </c>
      <c r="E134" s="23" t="n">
        <v>1170.44</v>
      </c>
      <c r="F134" s="15" t="n">
        <v>929.02</v>
      </c>
      <c r="G134" s="24" t="s">
        <v>21</v>
      </c>
      <c r="H134" s="23" t="n">
        <v>0</v>
      </c>
      <c r="I134" s="25" t="s">
        <v>22</v>
      </c>
      <c r="J134" s="26" t="n">
        <v>698</v>
      </c>
      <c r="K134" s="15" t="n">
        <v>600.462422768078</v>
      </c>
      <c r="L134" s="15" t="n">
        <f aca="false">F134*K134</f>
        <v>557841.6</v>
      </c>
      <c r="M134" s="26" t="n">
        <v>0</v>
      </c>
      <c r="N134" s="27" t="n">
        <v>816967.12</v>
      </c>
    </row>
    <row r="135" customFormat="false" ht="14.25" hidden="false" customHeight="false" outlineLevel="0" collapsed="false">
      <c r="A135" s="12" t="n">
        <v>131</v>
      </c>
      <c r="B135" s="13" t="s">
        <v>294</v>
      </c>
      <c r="C135" s="13" t="s">
        <v>295</v>
      </c>
      <c r="D135" s="13" t="s">
        <v>261</v>
      </c>
      <c r="E135" s="14" t="n">
        <v>1207.3</v>
      </c>
      <c r="F135" s="15" t="n">
        <v>965.02</v>
      </c>
      <c r="G135" s="16" t="s">
        <v>21</v>
      </c>
      <c r="H135" s="14" t="n">
        <v>0</v>
      </c>
      <c r="I135" s="17" t="s">
        <v>22</v>
      </c>
      <c r="J135" s="18" t="n">
        <v>664.89</v>
      </c>
      <c r="K135" s="15" t="n">
        <v>550.640608484798</v>
      </c>
      <c r="L135" s="15" t="n">
        <f aca="false">F135*K135</f>
        <v>531379.2</v>
      </c>
      <c r="M135" s="18" t="n">
        <v>0</v>
      </c>
      <c r="N135" s="20" t="n">
        <v>802721.697</v>
      </c>
    </row>
    <row r="136" customFormat="false" ht="14.25" hidden="false" customHeight="false" outlineLevel="0" collapsed="false">
      <c r="A136" s="21" t="n">
        <v>132</v>
      </c>
      <c r="B136" s="22" t="s">
        <v>296</v>
      </c>
      <c r="C136" s="22" t="s">
        <v>297</v>
      </c>
      <c r="D136" s="22" t="s">
        <v>261</v>
      </c>
      <c r="E136" s="23" t="n">
        <v>1168.93</v>
      </c>
      <c r="F136" s="15" t="n">
        <v>925.32</v>
      </c>
      <c r="G136" s="24" t="s">
        <v>21</v>
      </c>
      <c r="H136" s="23" t="n">
        <v>0</v>
      </c>
      <c r="I136" s="25" t="s">
        <v>22</v>
      </c>
      <c r="J136" s="26" t="n">
        <v>766.67</v>
      </c>
      <c r="K136" s="15" t="n">
        <v>662.170924653093</v>
      </c>
      <c r="L136" s="15" t="n">
        <f aca="false">F136*K136</f>
        <v>612720</v>
      </c>
      <c r="M136" s="26" t="n">
        <v>0</v>
      </c>
      <c r="N136" s="27" t="n">
        <v>896183.5631</v>
      </c>
    </row>
    <row r="137" customFormat="false" ht="14.25" hidden="false" customHeight="false" outlineLevel="0" collapsed="false">
      <c r="A137" s="12" t="n">
        <v>133</v>
      </c>
      <c r="B137" s="13" t="s">
        <v>298</v>
      </c>
      <c r="C137" s="13" t="s">
        <v>299</v>
      </c>
      <c r="D137" s="13" t="s">
        <v>261</v>
      </c>
      <c r="E137" s="14" t="n">
        <v>1193.29</v>
      </c>
      <c r="F137" s="15" t="n">
        <v>927.82</v>
      </c>
      <c r="G137" s="16" t="s">
        <v>21</v>
      </c>
      <c r="H137" s="14" t="n">
        <v>0</v>
      </c>
      <c r="I137" s="17" t="s">
        <v>22</v>
      </c>
      <c r="J137" s="18" t="n">
        <v>1004.22</v>
      </c>
      <c r="K137" s="15" t="n">
        <v>865.010885732146</v>
      </c>
      <c r="L137" s="15" t="n">
        <f aca="false">F137*K137</f>
        <v>802574.4</v>
      </c>
      <c r="M137" s="18" t="n">
        <v>0</v>
      </c>
      <c r="N137" s="20" t="n">
        <v>1198325.6838</v>
      </c>
    </row>
    <row r="138" customFormat="false" ht="14.25" hidden="false" customHeight="false" outlineLevel="0" collapsed="false">
      <c r="A138" s="21" t="n">
        <v>134</v>
      </c>
      <c r="B138" s="22" t="s">
        <v>300</v>
      </c>
      <c r="C138" s="22" t="s">
        <v>301</v>
      </c>
      <c r="D138" s="22" t="s">
        <v>261</v>
      </c>
      <c r="E138" s="23" t="n">
        <v>1225.4</v>
      </c>
      <c r="F138" s="15" t="n">
        <v>982.32</v>
      </c>
      <c r="G138" s="24" t="s">
        <v>21</v>
      </c>
      <c r="H138" s="23" t="n">
        <v>0</v>
      </c>
      <c r="I138" s="25" t="s">
        <v>22</v>
      </c>
      <c r="J138" s="26" t="n">
        <v>922.22</v>
      </c>
      <c r="K138" s="15" t="n">
        <v>750.305399462497</v>
      </c>
      <c r="L138" s="15" t="n">
        <f aca="false">F138*K138</f>
        <v>737040</v>
      </c>
      <c r="M138" s="26" t="n">
        <v>0</v>
      </c>
      <c r="N138" s="27" t="n">
        <v>1130088.388</v>
      </c>
    </row>
    <row r="139" customFormat="false" ht="14.25" hidden="false" customHeight="false" outlineLevel="0" collapsed="false">
      <c r="A139" s="12" t="n">
        <v>135</v>
      </c>
      <c r="B139" s="13" t="s">
        <v>302</v>
      </c>
      <c r="C139" s="13" t="s">
        <v>303</v>
      </c>
      <c r="D139" s="13" t="s">
        <v>261</v>
      </c>
      <c r="E139" s="14" t="n">
        <v>1198.87</v>
      </c>
      <c r="F139" s="15" t="n">
        <v>956.42</v>
      </c>
      <c r="G139" s="16" t="s">
        <v>21</v>
      </c>
      <c r="H139" s="14" t="n">
        <v>0</v>
      </c>
      <c r="I139" s="17" t="s">
        <v>22</v>
      </c>
      <c r="J139" s="18" t="n">
        <v>862</v>
      </c>
      <c r="K139" s="15" t="n">
        <v>720.301122937622</v>
      </c>
      <c r="L139" s="15" t="n">
        <f aca="false">F139*K139</f>
        <v>688910.4</v>
      </c>
      <c r="M139" s="18" t="n">
        <v>0</v>
      </c>
      <c r="N139" s="20" t="n">
        <v>1033425.94</v>
      </c>
    </row>
    <row r="140" customFormat="false" ht="14.25" hidden="false" customHeight="false" outlineLevel="0" collapsed="false">
      <c r="A140" s="21" t="n">
        <v>136</v>
      </c>
      <c r="B140" s="22" t="s">
        <v>304</v>
      </c>
      <c r="C140" s="22" t="s">
        <v>305</v>
      </c>
      <c r="D140" s="22" t="s">
        <v>261</v>
      </c>
      <c r="E140" s="23" t="n">
        <v>1178.07</v>
      </c>
      <c r="F140" s="15" t="n">
        <v>935.32</v>
      </c>
      <c r="G140" s="24" t="s">
        <v>21</v>
      </c>
      <c r="H140" s="23" t="n">
        <v>0</v>
      </c>
      <c r="I140" s="25" t="s">
        <v>22</v>
      </c>
      <c r="J140" s="26" t="n">
        <v>934.22</v>
      </c>
      <c r="K140" s="15" t="n">
        <v>798.261985202925</v>
      </c>
      <c r="L140" s="15" t="n">
        <f aca="false">F140*K140</f>
        <v>746630.4</v>
      </c>
      <c r="M140" s="26" t="n">
        <v>0</v>
      </c>
      <c r="N140" s="27" t="n">
        <v>1100576.5554</v>
      </c>
    </row>
    <row r="141" customFormat="false" ht="14.25" hidden="false" customHeight="false" outlineLevel="0" collapsed="false">
      <c r="A141" s="12" t="n">
        <v>137</v>
      </c>
      <c r="B141" s="13" t="s">
        <v>306</v>
      </c>
      <c r="C141" s="13" t="s">
        <v>307</v>
      </c>
      <c r="D141" s="13" t="s">
        <v>261</v>
      </c>
      <c r="E141" s="14" t="n">
        <v>1197.12</v>
      </c>
      <c r="F141" s="15" t="n">
        <v>938.12</v>
      </c>
      <c r="G141" s="16" t="s">
        <v>21</v>
      </c>
      <c r="H141" s="14" t="n">
        <v>0</v>
      </c>
      <c r="I141" s="17" t="s">
        <v>22</v>
      </c>
      <c r="J141" s="18" t="n">
        <v>845.56</v>
      </c>
      <c r="K141" s="15" t="n">
        <v>720.342813286147</v>
      </c>
      <c r="L141" s="15" t="n">
        <f aca="false">F141*K141</f>
        <v>675768</v>
      </c>
      <c r="M141" s="18" t="n">
        <v>0</v>
      </c>
      <c r="N141" s="20" t="n">
        <v>1012236.7872</v>
      </c>
    </row>
    <row r="142" customFormat="false" ht="14.25" hidden="false" customHeight="false" outlineLevel="0" collapsed="false">
      <c r="A142" s="21" t="n">
        <v>138</v>
      </c>
      <c r="B142" s="22" t="s">
        <v>308</v>
      </c>
      <c r="C142" s="22" t="s">
        <v>309</v>
      </c>
      <c r="D142" s="22" t="s">
        <v>261</v>
      </c>
      <c r="E142" s="23" t="n">
        <v>1073.89</v>
      </c>
      <c r="F142" s="15" t="n">
        <v>804.72</v>
      </c>
      <c r="G142" s="24" t="s">
        <v>21</v>
      </c>
      <c r="H142" s="23" t="n">
        <v>0</v>
      </c>
      <c r="I142" s="25" t="s">
        <v>22</v>
      </c>
      <c r="J142" s="26" t="n">
        <v>1130</v>
      </c>
      <c r="K142" s="15" t="n">
        <v>1122.24873247838</v>
      </c>
      <c r="L142" s="15" t="n">
        <f aca="false">F142*K142</f>
        <v>903096</v>
      </c>
      <c r="M142" s="26" t="n">
        <v>0</v>
      </c>
      <c r="N142" s="27" t="n">
        <v>1213495.7</v>
      </c>
    </row>
    <row r="143" customFormat="false" ht="14.25" hidden="false" customHeight="false" outlineLevel="0" collapsed="false">
      <c r="A143" s="12" t="n">
        <v>139</v>
      </c>
      <c r="B143" s="13" t="s">
        <v>310</v>
      </c>
      <c r="C143" s="13" t="s">
        <v>311</v>
      </c>
      <c r="D143" s="13" t="s">
        <v>261</v>
      </c>
      <c r="E143" s="14" t="n">
        <v>969.02</v>
      </c>
      <c r="F143" s="15" t="n">
        <v>724.72</v>
      </c>
      <c r="G143" s="16" t="s">
        <v>21</v>
      </c>
      <c r="H143" s="14" t="n">
        <v>0</v>
      </c>
      <c r="I143" s="17" t="s">
        <v>22</v>
      </c>
      <c r="J143" s="18" t="n">
        <v>512</v>
      </c>
      <c r="K143" s="15" t="n">
        <v>564.618611325753</v>
      </c>
      <c r="L143" s="15" t="n">
        <f aca="false">F143*K143</f>
        <v>409190.4</v>
      </c>
      <c r="M143" s="18" t="n">
        <v>0</v>
      </c>
      <c r="N143" s="20" t="n">
        <v>496138.24</v>
      </c>
    </row>
    <row r="144" customFormat="false" ht="14.25" hidden="false" customHeight="false" outlineLevel="0" collapsed="false">
      <c r="A144" s="21" t="n">
        <v>140</v>
      </c>
      <c r="B144" s="22" t="s">
        <v>312</v>
      </c>
      <c r="C144" s="22" t="s">
        <v>313</v>
      </c>
      <c r="D144" s="22" t="s">
        <v>261</v>
      </c>
      <c r="E144" s="23" t="n">
        <v>1041.19</v>
      </c>
      <c r="F144" s="15" t="n">
        <v>794.22</v>
      </c>
      <c r="G144" s="24" t="s">
        <v>21</v>
      </c>
      <c r="H144" s="23" t="n">
        <v>0</v>
      </c>
      <c r="I144" s="25" t="s">
        <v>22</v>
      </c>
      <c r="J144" s="26" t="n">
        <v>686.89</v>
      </c>
      <c r="K144" s="15" t="n">
        <v>691.195890307472</v>
      </c>
      <c r="L144" s="15" t="n">
        <f aca="false">F144*K144</f>
        <v>548961.6</v>
      </c>
      <c r="M144" s="26" t="n">
        <v>0</v>
      </c>
      <c r="N144" s="27" t="n">
        <v>715182.9991</v>
      </c>
    </row>
    <row r="145" customFormat="false" ht="14.25" hidden="false" customHeight="false" outlineLevel="0" collapsed="false">
      <c r="A145" s="12" t="n">
        <v>141</v>
      </c>
      <c r="B145" s="13" t="s">
        <v>314</v>
      </c>
      <c r="C145" s="13" t="s">
        <v>315</v>
      </c>
      <c r="D145" s="13" t="s">
        <v>261</v>
      </c>
      <c r="E145" s="14" t="n">
        <v>1017.95</v>
      </c>
      <c r="F145" s="15" t="n">
        <v>761.92</v>
      </c>
      <c r="G145" s="16" t="s">
        <v>21</v>
      </c>
      <c r="H145" s="14" t="n">
        <v>0</v>
      </c>
      <c r="I145" s="17" t="s">
        <v>22</v>
      </c>
      <c r="J145" s="18" t="n">
        <v>938.44</v>
      </c>
      <c r="K145" s="15" t="n">
        <v>984.361612767745</v>
      </c>
      <c r="L145" s="15" t="n">
        <f aca="false">F145*K145</f>
        <v>750004.8</v>
      </c>
      <c r="M145" s="18" t="n">
        <v>0</v>
      </c>
      <c r="N145" s="20" t="n">
        <v>955284.998</v>
      </c>
    </row>
    <row r="146" customFormat="false" ht="14.25" hidden="false" customHeight="false" outlineLevel="0" collapsed="false">
      <c r="A146" s="21" t="n">
        <v>142</v>
      </c>
      <c r="B146" s="22" t="s">
        <v>316</v>
      </c>
      <c r="C146" s="22" t="s">
        <v>317</v>
      </c>
      <c r="D146" s="22" t="s">
        <v>261</v>
      </c>
      <c r="E146" s="23" t="n">
        <v>1238.22</v>
      </c>
      <c r="F146" s="15" t="n">
        <v>995.82</v>
      </c>
      <c r="G146" s="24" t="s">
        <v>21</v>
      </c>
      <c r="H146" s="23" t="n">
        <v>0</v>
      </c>
      <c r="I146" s="25" t="s">
        <v>22</v>
      </c>
      <c r="J146" s="26" t="n">
        <v>796.22</v>
      </c>
      <c r="K146" s="15" t="n">
        <v>639.011869614991</v>
      </c>
      <c r="L146" s="15" t="n">
        <f aca="false">F146*K146</f>
        <v>636340.8</v>
      </c>
      <c r="M146" s="26" t="n">
        <v>0</v>
      </c>
      <c r="N146" s="27" t="n">
        <v>985895.5284</v>
      </c>
    </row>
    <row r="147" customFormat="false" ht="14.25" hidden="false" customHeight="false" outlineLevel="0" collapsed="false">
      <c r="A147" s="12" t="n">
        <v>143</v>
      </c>
      <c r="B147" s="13" t="s">
        <v>318</v>
      </c>
      <c r="C147" s="13" t="s">
        <v>319</v>
      </c>
      <c r="D147" s="13" t="s">
        <v>261</v>
      </c>
      <c r="E147" s="14" t="n">
        <v>1216.32</v>
      </c>
      <c r="F147" s="15" t="n">
        <v>970.72</v>
      </c>
      <c r="G147" s="16" t="s">
        <v>21</v>
      </c>
      <c r="H147" s="14" t="n">
        <v>0</v>
      </c>
      <c r="I147" s="17" t="s">
        <v>22</v>
      </c>
      <c r="J147" s="18" t="n">
        <v>698</v>
      </c>
      <c r="K147" s="15" t="n">
        <v>574.667875391462</v>
      </c>
      <c r="L147" s="15" t="n">
        <f aca="false">F147*K147</f>
        <v>557841.6</v>
      </c>
      <c r="M147" s="18" t="n">
        <v>0</v>
      </c>
      <c r="N147" s="20" t="n">
        <v>848991.36</v>
      </c>
    </row>
    <row r="148" customFormat="false" ht="14.25" hidden="false" customHeight="false" outlineLevel="0" collapsed="false">
      <c r="A148" s="21" t="n">
        <v>144</v>
      </c>
      <c r="B148" s="22" t="s">
        <v>320</v>
      </c>
      <c r="C148" s="22" t="s">
        <v>321</v>
      </c>
      <c r="D148" s="22" t="s">
        <v>261</v>
      </c>
      <c r="E148" s="23" t="n">
        <v>1196.1</v>
      </c>
      <c r="F148" s="15" t="n">
        <v>946.12</v>
      </c>
      <c r="G148" s="24" t="s">
        <v>21</v>
      </c>
      <c r="H148" s="23" t="n">
        <v>0</v>
      </c>
      <c r="I148" s="25" t="s">
        <v>22</v>
      </c>
      <c r="J148" s="26" t="n">
        <v>763.33</v>
      </c>
      <c r="K148" s="15" t="n">
        <v>644.985414112375</v>
      </c>
      <c r="L148" s="15" t="n">
        <f aca="false">F148*K148</f>
        <v>610233.6</v>
      </c>
      <c r="M148" s="26" t="n">
        <v>0</v>
      </c>
      <c r="N148" s="27" t="n">
        <v>913019.013</v>
      </c>
    </row>
    <row r="149" customFormat="false" ht="14.25" hidden="false" customHeight="false" outlineLevel="0" collapsed="false">
      <c r="A149" s="12" t="n">
        <v>145</v>
      </c>
      <c r="B149" s="13" t="s">
        <v>322</v>
      </c>
      <c r="C149" s="13" t="s">
        <v>323</v>
      </c>
      <c r="D149" s="13" t="s">
        <v>261</v>
      </c>
      <c r="E149" s="14" t="n">
        <v>1099.89</v>
      </c>
      <c r="F149" s="15" t="n">
        <v>869.32</v>
      </c>
      <c r="G149" s="16" t="s">
        <v>21</v>
      </c>
      <c r="H149" s="14" t="n">
        <v>0</v>
      </c>
      <c r="I149" s="17" t="s">
        <v>22</v>
      </c>
      <c r="J149" s="18" t="n">
        <v>643.33</v>
      </c>
      <c r="K149" s="15" t="n">
        <v>591.441586527401</v>
      </c>
      <c r="L149" s="15" t="n">
        <f aca="false">F149*K149</f>
        <v>514152</v>
      </c>
      <c r="M149" s="18" t="n">
        <v>0</v>
      </c>
      <c r="N149" s="20" t="n">
        <v>707592.2337</v>
      </c>
    </row>
    <row r="150" customFormat="false" ht="14.25" hidden="false" customHeight="false" outlineLevel="0" collapsed="false">
      <c r="A150" s="21" t="n">
        <v>146</v>
      </c>
      <c r="B150" s="22" t="s">
        <v>324</v>
      </c>
      <c r="C150" s="22" t="s">
        <v>325</v>
      </c>
      <c r="D150" s="22" t="s">
        <v>261</v>
      </c>
      <c r="E150" s="23" t="n">
        <v>1085.68</v>
      </c>
      <c r="F150" s="15" t="n">
        <v>877.22</v>
      </c>
      <c r="G150" s="24" t="s">
        <v>21</v>
      </c>
      <c r="H150" s="23" t="n">
        <v>0</v>
      </c>
      <c r="I150" s="25" t="s">
        <v>22</v>
      </c>
      <c r="J150" s="26" t="n">
        <v>517.56</v>
      </c>
      <c r="K150" s="15" t="n">
        <v>471.524133056702</v>
      </c>
      <c r="L150" s="15" t="n">
        <f aca="false">F150*K150</f>
        <v>413630.4</v>
      </c>
      <c r="M150" s="26" t="n">
        <v>0</v>
      </c>
      <c r="N150" s="27" t="n">
        <v>561904.5408</v>
      </c>
    </row>
    <row r="151" customFormat="false" ht="14.25" hidden="false" customHeight="false" outlineLevel="0" collapsed="false">
      <c r="A151" s="12" t="n">
        <v>147</v>
      </c>
      <c r="B151" s="13" t="s">
        <v>326</v>
      </c>
      <c r="C151" s="13" t="s">
        <v>327</v>
      </c>
      <c r="D151" s="13" t="s">
        <v>261</v>
      </c>
      <c r="E151" s="14" t="n">
        <v>1494.28</v>
      </c>
      <c r="F151" s="15" t="n">
        <v>1803.52</v>
      </c>
      <c r="G151" s="16" t="s">
        <v>21</v>
      </c>
      <c r="H151" s="14" t="n">
        <v>0</v>
      </c>
      <c r="I151" s="17" t="s">
        <v>22</v>
      </c>
      <c r="J151" s="18" t="n">
        <v>619.42</v>
      </c>
      <c r="K151" s="15" t="n">
        <v>450.776610505451</v>
      </c>
      <c r="L151" s="15" t="n">
        <f aca="false">F151*K151</f>
        <v>812984.632578791</v>
      </c>
      <c r="M151" s="18" t="n">
        <v>0</v>
      </c>
      <c r="N151" s="20" t="n">
        <v>925586.9176</v>
      </c>
    </row>
    <row r="152" customFormat="false" ht="14.25" hidden="false" customHeight="false" outlineLevel="0" collapsed="false">
      <c r="A152" s="21" t="n">
        <v>148</v>
      </c>
      <c r="B152" s="22" t="s">
        <v>328</v>
      </c>
      <c r="C152" s="22" t="s">
        <v>329</v>
      </c>
      <c r="D152" s="22" t="s">
        <v>261</v>
      </c>
      <c r="E152" s="23" t="n">
        <v>1188.61</v>
      </c>
      <c r="F152" s="15" t="n">
        <v>947.12</v>
      </c>
      <c r="G152" s="24" t="s">
        <v>21</v>
      </c>
      <c r="H152" s="23" t="n">
        <v>0</v>
      </c>
      <c r="I152" s="25" t="s">
        <v>22</v>
      </c>
      <c r="J152" s="26" t="n">
        <v>667.33</v>
      </c>
      <c r="K152" s="15" t="n">
        <v>563.110059971281</v>
      </c>
      <c r="L152" s="15" t="n">
        <f aca="false">F152*K152</f>
        <v>533332.8</v>
      </c>
      <c r="M152" s="26" t="n">
        <v>0</v>
      </c>
      <c r="N152" s="27" t="n">
        <v>793195.1113</v>
      </c>
    </row>
    <row r="153" customFormat="false" ht="14.25" hidden="false" customHeight="false" outlineLevel="0" collapsed="false">
      <c r="A153" s="12" t="n">
        <v>149</v>
      </c>
      <c r="B153" s="13" t="s">
        <v>330</v>
      </c>
      <c r="C153" s="13" t="s">
        <v>331</v>
      </c>
      <c r="D153" s="13" t="s">
        <v>261</v>
      </c>
      <c r="E153" s="14" t="n">
        <v>1175.07</v>
      </c>
      <c r="F153" s="15" t="n">
        <v>924.92</v>
      </c>
      <c r="G153" s="16" t="s">
        <v>21</v>
      </c>
      <c r="H153" s="14" t="n">
        <v>0</v>
      </c>
      <c r="I153" s="17" t="s">
        <v>22</v>
      </c>
      <c r="J153" s="18" t="n">
        <v>574.44</v>
      </c>
      <c r="K153" s="15" t="n">
        <v>496.362928685724</v>
      </c>
      <c r="L153" s="15" t="n">
        <f aca="false">F153*K153</f>
        <v>459096</v>
      </c>
      <c r="M153" s="18" t="n">
        <v>0</v>
      </c>
      <c r="N153" s="20" t="n">
        <v>675007.2108</v>
      </c>
    </row>
    <row r="154" customFormat="false" ht="14.25" hidden="false" customHeight="false" outlineLevel="0" collapsed="false">
      <c r="A154" s="21" t="n">
        <v>150</v>
      </c>
      <c r="B154" s="22" t="s">
        <v>332</v>
      </c>
      <c r="C154" s="22" t="s">
        <v>333</v>
      </c>
      <c r="D154" s="22" t="s">
        <v>261</v>
      </c>
      <c r="E154" s="23" t="n">
        <v>1156.9</v>
      </c>
      <c r="F154" s="15" t="n">
        <v>924.32</v>
      </c>
      <c r="G154" s="24" t="s">
        <v>21</v>
      </c>
      <c r="H154" s="23" t="n">
        <v>0</v>
      </c>
      <c r="I154" s="25" t="s">
        <v>22</v>
      </c>
      <c r="J154" s="26" t="n">
        <v>574.44</v>
      </c>
      <c r="K154" s="15" t="n">
        <v>496.68513069067</v>
      </c>
      <c r="L154" s="15" t="n">
        <f aca="false">F154*K154</f>
        <v>459096</v>
      </c>
      <c r="M154" s="26" t="n">
        <v>0</v>
      </c>
      <c r="N154" s="27" t="n">
        <v>664569.636</v>
      </c>
    </row>
    <row r="155" customFormat="false" ht="14.25" hidden="false" customHeight="false" outlineLevel="0" collapsed="false">
      <c r="A155" s="12" t="n">
        <v>151</v>
      </c>
      <c r="B155" s="13" t="s">
        <v>334</v>
      </c>
      <c r="C155" s="13" t="s">
        <v>335</v>
      </c>
      <c r="D155" s="13" t="s">
        <v>261</v>
      </c>
      <c r="E155" s="14" t="n">
        <v>1105.95</v>
      </c>
      <c r="F155" s="15" t="n">
        <v>862.72</v>
      </c>
      <c r="G155" s="16" t="s">
        <v>21</v>
      </c>
      <c r="H155" s="14" t="n">
        <v>0</v>
      </c>
      <c r="I155" s="17" t="s">
        <v>22</v>
      </c>
      <c r="J155" s="18" t="n">
        <v>590.89</v>
      </c>
      <c r="K155" s="15" t="n">
        <v>547.383160237389</v>
      </c>
      <c r="L155" s="15" t="n">
        <f aca="false">F155*K155</f>
        <v>472238.4</v>
      </c>
      <c r="M155" s="18" t="n">
        <v>0</v>
      </c>
      <c r="N155" s="20" t="n">
        <v>653494.7955</v>
      </c>
    </row>
    <row r="156" customFormat="false" ht="14.25" hidden="false" customHeight="false" outlineLevel="0" collapsed="false">
      <c r="A156" s="21" t="n">
        <v>152</v>
      </c>
      <c r="B156" s="22" t="s">
        <v>336</v>
      </c>
      <c r="C156" s="22" t="s">
        <v>337</v>
      </c>
      <c r="D156" s="22" t="s">
        <v>261</v>
      </c>
      <c r="E156" s="23" t="n">
        <v>1185.8</v>
      </c>
      <c r="F156" s="15" t="n">
        <v>943.32</v>
      </c>
      <c r="G156" s="24" t="s">
        <v>21</v>
      </c>
      <c r="H156" s="23" t="n">
        <v>0</v>
      </c>
      <c r="I156" s="25" t="s">
        <v>22</v>
      </c>
      <c r="J156" s="26" t="n">
        <v>877.56</v>
      </c>
      <c r="K156" s="15" t="n">
        <v>743.483017427808</v>
      </c>
      <c r="L156" s="15" t="n">
        <f aca="false">F156*K156</f>
        <v>701342.4</v>
      </c>
      <c r="M156" s="26" t="n">
        <v>0</v>
      </c>
      <c r="N156" s="27" t="n">
        <v>1040610.648</v>
      </c>
    </row>
    <row r="157" customFormat="false" ht="14.25" hidden="false" customHeight="false" outlineLevel="0" collapsed="false">
      <c r="A157" s="12" t="n">
        <v>153</v>
      </c>
      <c r="B157" s="13" t="s">
        <v>338</v>
      </c>
      <c r="C157" s="13" t="s">
        <v>339</v>
      </c>
      <c r="D157" s="13" t="s">
        <v>261</v>
      </c>
      <c r="E157" s="14" t="n">
        <v>306.89</v>
      </c>
      <c r="F157" s="15" t="n">
        <v>273.12</v>
      </c>
      <c r="G157" s="16" t="s">
        <v>21</v>
      </c>
      <c r="H157" s="14" t="n">
        <v>0</v>
      </c>
      <c r="I157" s="17" t="s">
        <v>22</v>
      </c>
      <c r="J157" s="18" t="n">
        <v>518.67</v>
      </c>
      <c r="K157" s="15" t="n">
        <v>1517.71528998243</v>
      </c>
      <c r="L157" s="15" t="n">
        <f aca="false">F157*K157</f>
        <v>414518.4</v>
      </c>
      <c r="M157" s="18" t="n">
        <v>0</v>
      </c>
      <c r="N157" s="20" t="n">
        <v>159174.6363</v>
      </c>
    </row>
    <row r="158" customFormat="false" ht="14.25" hidden="false" customHeight="false" outlineLevel="0" collapsed="false">
      <c r="A158" s="21" t="n">
        <v>154</v>
      </c>
      <c r="B158" s="22" t="s">
        <v>340</v>
      </c>
      <c r="C158" s="22" t="s">
        <v>341</v>
      </c>
      <c r="D158" s="22" t="s">
        <v>261</v>
      </c>
      <c r="E158" s="23" t="n">
        <v>1199.75</v>
      </c>
      <c r="F158" s="15" t="n">
        <v>956.62</v>
      </c>
      <c r="G158" s="24" t="s">
        <v>21</v>
      </c>
      <c r="H158" s="23" t="n">
        <v>0</v>
      </c>
      <c r="I158" s="25" t="s">
        <v>22</v>
      </c>
      <c r="J158" s="26" t="n">
        <v>569.11</v>
      </c>
      <c r="K158" s="15" t="n">
        <v>475.459011937865</v>
      </c>
      <c r="L158" s="15" t="n">
        <f aca="false">F158*K158</f>
        <v>454833.6</v>
      </c>
      <c r="M158" s="26" t="n">
        <v>0</v>
      </c>
      <c r="N158" s="27" t="n">
        <v>682789.7225</v>
      </c>
    </row>
    <row r="159" customFormat="false" ht="14.25" hidden="false" customHeight="false" outlineLevel="0" collapsed="false">
      <c r="A159" s="12" t="n">
        <v>155</v>
      </c>
      <c r="B159" s="13" t="s">
        <v>342</v>
      </c>
      <c r="C159" s="13" t="s">
        <v>343</v>
      </c>
      <c r="D159" s="13" t="s">
        <v>261</v>
      </c>
      <c r="E159" s="14" t="n">
        <v>1135.36</v>
      </c>
      <c r="F159" s="15" t="n">
        <v>846.12</v>
      </c>
      <c r="G159" s="16" t="s">
        <v>21</v>
      </c>
      <c r="H159" s="14" t="n">
        <v>0</v>
      </c>
      <c r="I159" s="17" t="s">
        <v>22</v>
      </c>
      <c r="J159" s="18" t="n">
        <v>537.11</v>
      </c>
      <c r="K159" s="15" t="n">
        <v>507.326620337541</v>
      </c>
      <c r="L159" s="15" t="n">
        <f aca="false">F159*K159</f>
        <v>429259.2</v>
      </c>
      <c r="M159" s="18" t="n">
        <v>0</v>
      </c>
      <c r="N159" s="20" t="n">
        <v>609813.2096</v>
      </c>
    </row>
    <row r="160" customFormat="false" ht="14.25" hidden="false" customHeight="false" outlineLevel="0" collapsed="false">
      <c r="A160" s="21" t="n">
        <v>156</v>
      </c>
      <c r="B160" s="22" t="s">
        <v>344</v>
      </c>
      <c r="C160" s="22" t="s">
        <v>345</v>
      </c>
      <c r="D160" s="22" t="s">
        <v>261</v>
      </c>
      <c r="E160" s="23" t="n">
        <v>1125.9</v>
      </c>
      <c r="F160" s="15" t="n">
        <v>953.52</v>
      </c>
      <c r="G160" s="24" t="s">
        <v>21</v>
      </c>
      <c r="H160" s="23" t="n">
        <v>0</v>
      </c>
      <c r="I160" s="25" t="s">
        <v>22</v>
      </c>
      <c r="J160" s="26" t="n">
        <v>590.89</v>
      </c>
      <c r="K160" s="15" t="n">
        <v>495.257991442235</v>
      </c>
      <c r="L160" s="15" t="n">
        <f aca="false">F160*K160</f>
        <v>472238.4</v>
      </c>
      <c r="M160" s="26" t="n">
        <v>0</v>
      </c>
      <c r="N160" s="27" t="n">
        <v>665283.051</v>
      </c>
    </row>
    <row r="161" customFormat="false" ht="14.25" hidden="false" customHeight="false" outlineLevel="0" collapsed="false">
      <c r="A161" s="12" t="n">
        <v>157</v>
      </c>
      <c r="B161" s="13" t="s">
        <v>346</v>
      </c>
      <c r="C161" s="13" t="s">
        <v>347</v>
      </c>
      <c r="D161" s="13" t="s">
        <v>261</v>
      </c>
      <c r="E161" s="14" t="n">
        <v>1199.28</v>
      </c>
      <c r="F161" s="15" t="n">
        <v>957.42</v>
      </c>
      <c r="G161" s="16" t="s">
        <v>21</v>
      </c>
      <c r="H161" s="14" t="n">
        <v>0</v>
      </c>
      <c r="I161" s="17" t="s">
        <v>22</v>
      </c>
      <c r="J161" s="18" t="n">
        <v>532.22</v>
      </c>
      <c r="K161" s="15" t="n">
        <v>444.268972864574</v>
      </c>
      <c r="L161" s="15" t="n">
        <f aca="false">F161*K161</f>
        <v>425352</v>
      </c>
      <c r="M161" s="18" t="n">
        <v>0</v>
      </c>
      <c r="N161" s="20" t="n">
        <v>638280.8016</v>
      </c>
    </row>
    <row r="162" customFormat="false" ht="14.25" hidden="false" customHeight="false" outlineLevel="0" collapsed="false">
      <c r="A162" s="21" t="n">
        <v>158</v>
      </c>
      <c r="B162" s="22" t="s">
        <v>348</v>
      </c>
      <c r="C162" s="22" t="s">
        <v>349</v>
      </c>
      <c r="D162" s="22" t="s">
        <v>261</v>
      </c>
      <c r="E162" s="23" t="n">
        <v>1226</v>
      </c>
      <c r="F162" s="15" t="n">
        <v>984.42</v>
      </c>
      <c r="G162" s="24" t="s">
        <v>21</v>
      </c>
      <c r="H162" s="23" t="n">
        <v>0</v>
      </c>
      <c r="I162" s="25" t="s">
        <v>22</v>
      </c>
      <c r="J162" s="26" t="n">
        <v>607.33</v>
      </c>
      <c r="K162" s="15" t="n">
        <v>493.062717132931</v>
      </c>
      <c r="L162" s="15" t="n">
        <f aca="false">F162*K162</f>
        <v>485380.8</v>
      </c>
      <c r="M162" s="26" t="n">
        <v>0</v>
      </c>
      <c r="N162" s="27" t="n">
        <v>744586.58</v>
      </c>
    </row>
    <row r="163" customFormat="false" ht="14.25" hidden="false" customHeight="false" outlineLevel="0" collapsed="false">
      <c r="A163" s="12" t="n">
        <v>159</v>
      </c>
      <c r="B163" s="13" t="s">
        <v>350</v>
      </c>
      <c r="C163" s="13" t="s">
        <v>351</v>
      </c>
      <c r="D163" s="13" t="s">
        <v>261</v>
      </c>
      <c r="E163" s="14" t="n">
        <v>1186.5</v>
      </c>
      <c r="F163" s="15" t="n">
        <v>942.42</v>
      </c>
      <c r="G163" s="16" t="s">
        <v>21</v>
      </c>
      <c r="H163" s="14" t="n">
        <v>0</v>
      </c>
      <c r="I163" s="17" t="s">
        <v>22</v>
      </c>
      <c r="J163" s="18" t="n">
        <v>590.67</v>
      </c>
      <c r="K163" s="15" t="n">
        <v>501.091233208124</v>
      </c>
      <c r="L163" s="15" t="n">
        <f aca="false">F163*K163</f>
        <v>472238.4</v>
      </c>
      <c r="M163" s="18" t="n">
        <v>0</v>
      </c>
      <c r="N163" s="20" t="n">
        <v>700829.955</v>
      </c>
    </row>
    <row r="164" customFormat="false" ht="14.25" hidden="false" customHeight="false" outlineLevel="0" collapsed="false">
      <c r="A164" s="21" t="n">
        <v>160</v>
      </c>
      <c r="B164" s="22" t="s">
        <v>352</v>
      </c>
      <c r="C164" s="22" t="s">
        <v>353</v>
      </c>
      <c r="D164" s="22" t="s">
        <v>261</v>
      </c>
      <c r="E164" s="23" t="n">
        <v>1212.62</v>
      </c>
      <c r="F164" s="15" t="n">
        <v>971.62</v>
      </c>
      <c r="G164" s="24" t="s">
        <v>21</v>
      </c>
      <c r="H164" s="23" t="n">
        <v>0</v>
      </c>
      <c r="I164" s="25" t="s">
        <v>22</v>
      </c>
      <c r="J164" s="26" t="n">
        <v>612.89</v>
      </c>
      <c r="K164" s="15" t="n">
        <v>504.127951256664</v>
      </c>
      <c r="L164" s="15" t="n">
        <f aca="false">F164*K164</f>
        <v>489820.8</v>
      </c>
      <c r="M164" s="26" t="n">
        <v>0</v>
      </c>
      <c r="N164" s="27" t="n">
        <v>743202.6718</v>
      </c>
    </row>
    <row r="165" customFormat="false" ht="14.25" hidden="false" customHeight="false" outlineLevel="0" collapsed="false">
      <c r="A165" s="12" t="n">
        <v>161</v>
      </c>
      <c r="B165" s="13" t="s">
        <v>354</v>
      </c>
      <c r="C165" s="13" t="s">
        <v>355</v>
      </c>
      <c r="D165" s="13" t="s">
        <v>261</v>
      </c>
      <c r="E165" s="14" t="n">
        <v>1206.64</v>
      </c>
      <c r="F165" s="15" t="n">
        <v>966.52</v>
      </c>
      <c r="G165" s="16" t="s">
        <v>21</v>
      </c>
      <c r="H165" s="14" t="n">
        <v>0</v>
      </c>
      <c r="I165" s="17" t="s">
        <v>22</v>
      </c>
      <c r="J165" s="18" t="n">
        <v>602</v>
      </c>
      <c r="K165" s="15" t="n">
        <v>497.78421553615</v>
      </c>
      <c r="L165" s="15" t="n">
        <f aca="false">F165*K165</f>
        <v>481118.4</v>
      </c>
      <c r="M165" s="18" t="n">
        <v>0</v>
      </c>
      <c r="N165" s="20" t="n">
        <v>726397.28</v>
      </c>
    </row>
    <row r="166" customFormat="false" ht="14.25" hidden="false" customHeight="false" outlineLevel="0" collapsed="false">
      <c r="A166" s="28" t="n">
        <v>162</v>
      </c>
      <c r="B166" s="29" t="s">
        <v>356</v>
      </c>
      <c r="C166" s="29" t="s">
        <v>357</v>
      </c>
      <c r="D166" s="29" t="s">
        <v>261</v>
      </c>
      <c r="E166" s="30" t="n">
        <v>0</v>
      </c>
      <c r="F166" s="15" t="n">
        <v>0</v>
      </c>
      <c r="G166" s="31" t="s">
        <v>21</v>
      </c>
      <c r="H166" s="30" t="n">
        <v>0</v>
      </c>
      <c r="I166" s="32" t="s">
        <v>29</v>
      </c>
      <c r="J166" s="33" t="n">
        <v>517.56</v>
      </c>
      <c r="K166" s="15" t="n">
        <v>0</v>
      </c>
      <c r="L166" s="15" t="n">
        <f aca="false">F166*K166</f>
        <v>0</v>
      </c>
      <c r="M166" s="33" t="n">
        <v>0</v>
      </c>
      <c r="N166" s="34" t="n">
        <v>0</v>
      </c>
    </row>
    <row r="167" customFormat="false" ht="14.25" hidden="false" customHeight="false" outlineLevel="0" collapsed="false">
      <c r="A167" s="28" t="n">
        <v>163</v>
      </c>
      <c r="B167" s="29" t="s">
        <v>358</v>
      </c>
      <c r="C167" s="29" t="s">
        <v>359</v>
      </c>
      <c r="D167" s="29" t="s">
        <v>261</v>
      </c>
      <c r="E167" s="30" t="n">
        <v>0</v>
      </c>
      <c r="F167" s="15" t="n">
        <v>1977.22</v>
      </c>
      <c r="G167" s="31" t="s">
        <v>21</v>
      </c>
      <c r="H167" s="30" t="n">
        <v>0</v>
      </c>
      <c r="I167" s="32" t="s">
        <v>29</v>
      </c>
      <c r="J167" s="33" t="n">
        <v>542.22</v>
      </c>
      <c r="K167" s="19" t="n">
        <v>238.83</v>
      </c>
      <c r="L167" s="15" t="n">
        <f aca="false">F167*K167</f>
        <v>472219.4526</v>
      </c>
      <c r="M167" s="33" t="n">
        <v>0</v>
      </c>
      <c r="N167" s="34" t="n">
        <v>0</v>
      </c>
    </row>
    <row r="168" customFormat="false" ht="14.25" hidden="false" customHeight="false" outlineLevel="0" collapsed="false">
      <c r="A168" s="21" t="n">
        <v>164</v>
      </c>
      <c r="B168" s="22" t="s">
        <v>360</v>
      </c>
      <c r="C168" s="22" t="s">
        <v>361</v>
      </c>
      <c r="D168" s="22" t="s">
        <v>261</v>
      </c>
      <c r="E168" s="23" t="n">
        <v>766.81</v>
      </c>
      <c r="F168" s="15" t="n">
        <v>1321.62</v>
      </c>
      <c r="G168" s="24" t="s">
        <v>21</v>
      </c>
      <c r="H168" s="23" t="n">
        <v>0</v>
      </c>
      <c r="I168" s="25" t="s">
        <v>22</v>
      </c>
      <c r="J168" s="26" t="n">
        <v>669.67</v>
      </c>
      <c r="K168" s="15" t="n">
        <v>380.565669405729</v>
      </c>
      <c r="L168" s="15" t="n">
        <f aca="false">F168*K168</f>
        <v>502963.2</v>
      </c>
      <c r="M168" s="26" t="n">
        <v>0</v>
      </c>
      <c r="N168" s="27" t="n">
        <v>513509.6527</v>
      </c>
    </row>
    <row r="169" customFormat="false" ht="14.25" hidden="false" customHeight="false" outlineLevel="0" collapsed="false">
      <c r="A169" s="12" t="n">
        <v>165</v>
      </c>
      <c r="B169" s="13" t="s">
        <v>362</v>
      </c>
      <c r="C169" s="13" t="s">
        <v>363</v>
      </c>
      <c r="D169" s="13" t="s">
        <v>261</v>
      </c>
      <c r="E169" s="14" t="n">
        <v>682.09</v>
      </c>
      <c r="F169" s="15" t="n">
        <v>606.62</v>
      </c>
      <c r="G169" s="16" t="s">
        <v>21</v>
      </c>
      <c r="H169" s="14" t="n">
        <v>0</v>
      </c>
      <c r="I169" s="17" t="s">
        <v>22</v>
      </c>
      <c r="J169" s="18" t="n">
        <v>694.89</v>
      </c>
      <c r="K169" s="15" t="n">
        <v>915.491081731562</v>
      </c>
      <c r="L169" s="15" t="n">
        <f aca="false">F169*K169</f>
        <v>555355.2</v>
      </c>
      <c r="M169" s="18" t="n">
        <v>0</v>
      </c>
      <c r="N169" s="20" t="n">
        <v>473977.5201</v>
      </c>
    </row>
    <row r="170" customFormat="false" ht="14.25" hidden="false" customHeight="false" outlineLevel="0" collapsed="false">
      <c r="A170" s="21" t="n">
        <v>166</v>
      </c>
      <c r="B170" s="22" t="s">
        <v>364</v>
      </c>
      <c r="C170" s="22" t="s">
        <v>365</v>
      </c>
      <c r="D170" s="22" t="s">
        <v>261</v>
      </c>
      <c r="E170" s="23" t="n">
        <v>1192.28</v>
      </c>
      <c r="F170" s="15" t="n">
        <v>950.32</v>
      </c>
      <c r="G170" s="24" t="s">
        <v>21</v>
      </c>
      <c r="H170" s="23" t="n">
        <v>0</v>
      </c>
      <c r="I170" s="25" t="s">
        <v>22</v>
      </c>
      <c r="J170" s="26" t="n">
        <v>683.78</v>
      </c>
      <c r="K170" s="15" t="n">
        <v>575.043353817661</v>
      </c>
      <c r="L170" s="15" t="n">
        <f aca="false">F170*K170</f>
        <v>546475.2</v>
      </c>
      <c r="M170" s="26" t="n">
        <v>0</v>
      </c>
      <c r="N170" s="27" t="n">
        <v>815257.2184</v>
      </c>
    </row>
    <row r="171" customFormat="false" ht="14.25" hidden="false" customHeight="false" outlineLevel="0" collapsed="false">
      <c r="A171" s="12" t="n">
        <v>167</v>
      </c>
      <c r="B171" s="13" t="s">
        <v>366</v>
      </c>
      <c r="C171" s="13" t="s">
        <v>367</v>
      </c>
      <c r="D171" s="13" t="s">
        <v>261</v>
      </c>
      <c r="E171" s="14" t="n">
        <v>750.24</v>
      </c>
      <c r="F171" s="15" t="n">
        <v>504.92</v>
      </c>
      <c r="G171" s="16" t="s">
        <v>21</v>
      </c>
      <c r="H171" s="14" t="n">
        <v>0</v>
      </c>
      <c r="I171" s="17" t="s">
        <v>22</v>
      </c>
      <c r="J171" s="18" t="n">
        <v>2082.22</v>
      </c>
      <c r="K171" s="15" t="n">
        <v>1647.89669650638</v>
      </c>
      <c r="L171" s="15" t="n">
        <f aca="false">F171*K171</f>
        <v>832056</v>
      </c>
      <c r="M171" s="18" t="n">
        <v>0</v>
      </c>
      <c r="N171" s="20" t="n">
        <v>1562164.7328</v>
      </c>
    </row>
    <row r="172" customFormat="false" ht="14.25" hidden="false" customHeight="false" outlineLevel="0" collapsed="false">
      <c r="A172" s="28" t="n">
        <v>168</v>
      </c>
      <c r="B172" s="29" t="s">
        <v>368</v>
      </c>
      <c r="C172" s="29" t="s">
        <v>369</v>
      </c>
      <c r="D172" s="29" t="s">
        <v>261</v>
      </c>
      <c r="E172" s="30" t="n">
        <v>0</v>
      </c>
      <c r="F172" s="15" t="n">
        <v>0</v>
      </c>
      <c r="G172" s="31" t="s">
        <v>21</v>
      </c>
      <c r="H172" s="30" t="n">
        <v>0</v>
      </c>
      <c r="I172" s="32" t="s">
        <v>29</v>
      </c>
      <c r="J172" s="33" t="n">
        <v>0</v>
      </c>
      <c r="K172" s="15" t="n">
        <v>0</v>
      </c>
      <c r="L172" s="15" t="n">
        <f aca="false">F172*K172</f>
        <v>0</v>
      </c>
      <c r="M172" s="33" t="n">
        <v>0</v>
      </c>
      <c r="N172" s="34" t="n">
        <v>0</v>
      </c>
    </row>
    <row r="173" customFormat="false" ht="14.25" hidden="false" customHeight="false" outlineLevel="0" collapsed="false">
      <c r="A173" s="28" t="n">
        <v>169</v>
      </c>
      <c r="B173" s="29" t="s">
        <v>370</v>
      </c>
      <c r="C173" s="29" t="s">
        <v>371</v>
      </c>
      <c r="D173" s="29" t="s">
        <v>261</v>
      </c>
      <c r="E173" s="30" t="n">
        <v>0</v>
      </c>
      <c r="F173" s="15" t="n">
        <v>0</v>
      </c>
      <c r="G173" s="31" t="s">
        <v>21</v>
      </c>
      <c r="H173" s="30" t="n">
        <v>0</v>
      </c>
      <c r="I173" s="32" t="s">
        <v>29</v>
      </c>
      <c r="J173" s="33" t="n">
        <v>0</v>
      </c>
      <c r="K173" s="15" t="n">
        <v>0</v>
      </c>
      <c r="L173" s="15" t="n">
        <f aca="false">F173*K173</f>
        <v>0</v>
      </c>
      <c r="M173" s="33" t="n">
        <v>0</v>
      </c>
      <c r="N173" s="34" t="n">
        <v>0</v>
      </c>
    </row>
    <row r="174" customFormat="false" ht="14.25" hidden="false" customHeight="false" outlineLevel="0" collapsed="false">
      <c r="A174" s="28" t="n">
        <v>170</v>
      </c>
      <c r="B174" s="29" t="s">
        <v>372</v>
      </c>
      <c r="C174" s="29" t="s">
        <v>373</v>
      </c>
      <c r="D174" s="29" t="s">
        <v>261</v>
      </c>
      <c r="E174" s="30" t="n">
        <v>0</v>
      </c>
      <c r="F174" s="15" t="n">
        <v>0</v>
      </c>
      <c r="G174" s="31" t="s">
        <v>21</v>
      </c>
      <c r="H174" s="30" t="n">
        <v>0</v>
      </c>
      <c r="I174" s="32" t="s">
        <v>29</v>
      </c>
      <c r="J174" s="33" t="n">
        <v>0</v>
      </c>
      <c r="K174" s="15" t="n">
        <v>0</v>
      </c>
      <c r="L174" s="15" t="n">
        <f aca="false">F174*K174</f>
        <v>0</v>
      </c>
      <c r="M174" s="33" t="n">
        <v>0</v>
      </c>
      <c r="N174" s="34" t="n">
        <v>0</v>
      </c>
    </row>
    <row r="175" customFormat="false" ht="14.25" hidden="false" customHeight="false" outlineLevel="0" collapsed="false">
      <c r="A175" s="12" t="n">
        <v>171</v>
      </c>
      <c r="B175" s="13" t="s">
        <v>374</v>
      </c>
      <c r="C175" s="13" t="s">
        <v>375</v>
      </c>
      <c r="D175" s="13" t="s">
        <v>261</v>
      </c>
      <c r="E175" s="14" t="n">
        <v>748.74</v>
      </c>
      <c r="F175" s="15" t="n">
        <v>505.42</v>
      </c>
      <c r="G175" s="16" t="s">
        <v>21</v>
      </c>
      <c r="H175" s="14" t="n">
        <v>0</v>
      </c>
      <c r="I175" s="17" t="s">
        <v>22</v>
      </c>
      <c r="J175" s="18" t="n">
        <v>1672</v>
      </c>
      <c r="K175" s="15" t="n">
        <v>1321.93265007321</v>
      </c>
      <c r="L175" s="15" t="n">
        <f aca="false">F175*K175</f>
        <v>668131.2</v>
      </c>
      <c r="M175" s="18" t="n">
        <v>0</v>
      </c>
      <c r="N175" s="20" t="n">
        <v>1251893.28</v>
      </c>
    </row>
    <row r="176" customFormat="false" ht="14.25" hidden="false" customHeight="false" outlineLevel="0" collapsed="false">
      <c r="A176" s="21" t="n">
        <v>172</v>
      </c>
      <c r="B176" s="22" t="s">
        <v>376</v>
      </c>
      <c r="C176" s="22" t="s">
        <v>377</v>
      </c>
      <c r="D176" s="22" t="s">
        <v>261</v>
      </c>
      <c r="E176" s="23" t="n">
        <v>753.72</v>
      </c>
      <c r="F176" s="15" t="n">
        <v>509.02</v>
      </c>
      <c r="G176" s="24" t="s">
        <v>21</v>
      </c>
      <c r="H176" s="23" t="n">
        <v>0</v>
      </c>
      <c r="I176" s="25" t="s">
        <v>22</v>
      </c>
      <c r="J176" s="26" t="n">
        <v>2240.89</v>
      </c>
      <c r="K176" s="15" t="n">
        <v>1759.18274331068</v>
      </c>
      <c r="L176" s="15" t="n">
        <f aca="false">F176*K176</f>
        <v>895459.2</v>
      </c>
      <c r="M176" s="26" t="n">
        <v>0</v>
      </c>
      <c r="N176" s="27" t="n">
        <v>1689003.6108</v>
      </c>
    </row>
    <row r="177" customFormat="false" ht="14.25" hidden="false" customHeight="false" outlineLevel="0" collapsed="false">
      <c r="A177" s="12" t="n">
        <v>173</v>
      </c>
      <c r="B177" s="13" t="s">
        <v>378</v>
      </c>
      <c r="C177" s="13" t="s">
        <v>379</v>
      </c>
      <c r="D177" s="13" t="s">
        <v>261</v>
      </c>
      <c r="E177" s="14" t="n">
        <v>25882.02</v>
      </c>
      <c r="F177" s="15" t="n">
        <v>19831.04</v>
      </c>
      <c r="G177" s="16" t="s">
        <v>21</v>
      </c>
      <c r="H177" s="14" t="n">
        <v>0</v>
      </c>
      <c r="I177" s="17" t="s">
        <v>22</v>
      </c>
      <c r="J177" s="18" t="n">
        <v>443.85</v>
      </c>
      <c r="K177" s="15" t="n">
        <v>312.757640426817</v>
      </c>
      <c r="L177" s="15" t="n">
        <f aca="false">F177*K177</f>
        <v>6202309.27760983</v>
      </c>
      <c r="M177" s="18" t="n">
        <v>0</v>
      </c>
      <c r="N177" s="20" t="n">
        <v>11487734.577</v>
      </c>
    </row>
    <row r="178" customFormat="false" ht="14.25" hidden="false" customHeight="false" outlineLevel="0" collapsed="false">
      <c r="A178" s="21" t="n">
        <v>174</v>
      </c>
      <c r="B178" s="22" t="s">
        <v>380</v>
      </c>
      <c r="C178" s="22" t="s">
        <v>381</v>
      </c>
      <c r="D178" s="22" t="s">
        <v>261</v>
      </c>
      <c r="E178" s="23" t="n">
        <v>7906.79</v>
      </c>
      <c r="F178" s="15" t="n">
        <v>7480.14</v>
      </c>
      <c r="G178" s="24" t="s">
        <v>21</v>
      </c>
      <c r="H178" s="23" t="n">
        <v>0</v>
      </c>
      <c r="I178" s="25" t="s">
        <v>22</v>
      </c>
      <c r="J178" s="26" t="n">
        <v>487.31</v>
      </c>
      <c r="K178" s="15" t="n">
        <v>430.432336297494</v>
      </c>
      <c r="L178" s="15" t="n">
        <f aca="false">F178*K178</f>
        <v>3219694.13603234</v>
      </c>
      <c r="M178" s="26" t="n">
        <v>0</v>
      </c>
      <c r="N178" s="27" t="n">
        <v>3853057.8349</v>
      </c>
    </row>
    <row r="179" customFormat="false" ht="14.25" hidden="false" customHeight="false" outlineLevel="0" collapsed="false">
      <c r="A179" s="12" t="n">
        <v>175</v>
      </c>
      <c r="B179" s="13" t="s">
        <v>382</v>
      </c>
      <c r="C179" s="13" t="s">
        <v>383</v>
      </c>
      <c r="D179" s="13" t="s">
        <v>261</v>
      </c>
      <c r="E179" s="14" t="n">
        <v>3500</v>
      </c>
      <c r="F179" s="15" t="n">
        <v>3644.6</v>
      </c>
      <c r="G179" s="16" t="s">
        <v>21</v>
      </c>
      <c r="H179" s="14" t="n">
        <v>0</v>
      </c>
      <c r="I179" s="17" t="s">
        <v>22</v>
      </c>
      <c r="J179" s="18" t="n">
        <v>290.05</v>
      </c>
      <c r="K179" s="15" t="n">
        <v>273.554729183508</v>
      </c>
      <c r="L179" s="15" t="n">
        <f aca="false">F179*K179</f>
        <v>996997.565982215</v>
      </c>
      <c r="M179" s="18" t="n">
        <v>0</v>
      </c>
      <c r="N179" s="20" t="n">
        <v>1015175</v>
      </c>
    </row>
    <row r="180" customFormat="false" ht="14.25" hidden="false" customHeight="false" outlineLevel="0" collapsed="false">
      <c r="A180" s="21" t="n">
        <v>176</v>
      </c>
      <c r="B180" s="22" t="s">
        <v>384</v>
      </c>
      <c r="C180" s="22" t="s">
        <v>385</v>
      </c>
      <c r="D180" s="22" t="s">
        <v>261</v>
      </c>
      <c r="E180" s="23" t="n">
        <v>1877.46</v>
      </c>
      <c r="F180" s="15" t="n">
        <v>1772.54</v>
      </c>
      <c r="G180" s="24" t="s">
        <v>21</v>
      </c>
      <c r="H180" s="23" t="n">
        <v>0</v>
      </c>
      <c r="I180" s="25" t="s">
        <v>22</v>
      </c>
      <c r="J180" s="26" t="n">
        <v>290.05</v>
      </c>
      <c r="K180" s="15" t="n">
        <v>572.715763819152</v>
      </c>
      <c r="L180" s="15" t="n">
        <f aca="false">F180*K180</f>
        <v>1015161.6</v>
      </c>
      <c r="M180" s="26" t="n">
        <v>0</v>
      </c>
      <c r="N180" s="27" t="n">
        <v>544557.273</v>
      </c>
    </row>
    <row r="181" customFormat="false" ht="14.25" hidden="false" customHeight="false" outlineLevel="0" collapsed="false">
      <c r="A181" s="12" t="n">
        <v>177</v>
      </c>
      <c r="B181" s="13" t="s">
        <v>386</v>
      </c>
      <c r="C181" s="13" t="s">
        <v>387</v>
      </c>
      <c r="D181" s="13" t="s">
        <v>261</v>
      </c>
      <c r="E181" s="14" t="n">
        <v>3105.45</v>
      </c>
      <c r="F181" s="15" t="n">
        <v>2996.64</v>
      </c>
      <c r="G181" s="16" t="s">
        <v>21</v>
      </c>
      <c r="H181" s="14" t="n">
        <v>0</v>
      </c>
      <c r="I181" s="17" t="s">
        <v>22</v>
      </c>
      <c r="J181" s="18" t="n">
        <v>429.39</v>
      </c>
      <c r="K181" s="15" t="n">
        <v>501.51209354477</v>
      </c>
      <c r="L181" s="15" t="n">
        <f aca="false">F181*K181</f>
        <v>1502851.2</v>
      </c>
      <c r="M181" s="18" t="n">
        <v>0</v>
      </c>
      <c r="N181" s="20" t="n">
        <v>1333449.1755</v>
      </c>
    </row>
    <row r="182" customFormat="false" ht="14.25" hidden="false" customHeight="false" outlineLevel="0" collapsed="false">
      <c r="A182" s="21" t="n">
        <v>178</v>
      </c>
      <c r="B182" s="22" t="s">
        <v>388</v>
      </c>
      <c r="C182" s="22" t="s">
        <v>389</v>
      </c>
      <c r="D182" s="22" t="s">
        <v>261</v>
      </c>
      <c r="E182" s="23" t="n">
        <v>5557.93</v>
      </c>
      <c r="F182" s="15" t="n">
        <v>5440.04</v>
      </c>
      <c r="G182" s="24" t="s">
        <v>21</v>
      </c>
      <c r="H182" s="23" t="n">
        <v>0</v>
      </c>
      <c r="I182" s="25" t="s">
        <v>22</v>
      </c>
      <c r="J182" s="26" t="n">
        <v>416.95</v>
      </c>
      <c r="K182" s="15" t="n">
        <v>393.246887631366</v>
      </c>
      <c r="L182" s="15" t="n">
        <f aca="false">F182*K182</f>
        <v>2139278.79859014</v>
      </c>
      <c r="M182" s="26" t="n">
        <v>0</v>
      </c>
      <c r="N182" s="27" t="n">
        <v>2317378.9135</v>
      </c>
    </row>
    <row r="183" customFormat="false" ht="14.25" hidden="false" customHeight="false" outlineLevel="0" collapsed="false">
      <c r="A183" s="12" t="n">
        <v>179</v>
      </c>
      <c r="B183" s="13" t="s">
        <v>390</v>
      </c>
      <c r="C183" s="13" t="s">
        <v>391</v>
      </c>
      <c r="D183" s="13" t="s">
        <v>261</v>
      </c>
      <c r="E183" s="14" t="n">
        <v>3101.15</v>
      </c>
      <c r="F183" s="15" t="n">
        <v>2457.64</v>
      </c>
      <c r="G183" s="16" t="s">
        <v>21</v>
      </c>
      <c r="H183" s="14" t="n">
        <v>0</v>
      </c>
      <c r="I183" s="17" t="s">
        <v>22</v>
      </c>
      <c r="J183" s="18" t="n">
        <v>408.73</v>
      </c>
      <c r="K183" s="15" t="n">
        <v>582.090135251705</v>
      </c>
      <c r="L183" s="15" t="n">
        <f aca="false">F183*K183</f>
        <v>1430568</v>
      </c>
      <c r="M183" s="18" t="n">
        <v>0</v>
      </c>
      <c r="N183" s="20" t="n">
        <v>1267533.0395</v>
      </c>
    </row>
    <row r="184" customFormat="false" ht="14.25" hidden="false" customHeight="false" outlineLevel="0" collapsed="false">
      <c r="A184" s="21" t="n">
        <v>180</v>
      </c>
      <c r="B184" s="22" t="s">
        <v>392</v>
      </c>
      <c r="C184" s="22" t="s">
        <v>393</v>
      </c>
      <c r="D184" s="22" t="s">
        <v>261</v>
      </c>
      <c r="E184" s="23" t="n">
        <v>2309.71</v>
      </c>
      <c r="F184" s="15" t="n">
        <v>2320.84</v>
      </c>
      <c r="G184" s="24" t="s">
        <v>21</v>
      </c>
      <c r="H184" s="23" t="n">
        <v>0</v>
      </c>
      <c r="I184" s="25" t="s">
        <v>22</v>
      </c>
      <c r="J184" s="26" t="n">
        <v>412.84</v>
      </c>
      <c r="K184" s="15" t="n">
        <v>622.599403664191</v>
      </c>
      <c r="L184" s="15" t="n">
        <f aca="false">F184*K184</f>
        <v>1444953.6</v>
      </c>
      <c r="M184" s="26" t="n">
        <v>0</v>
      </c>
      <c r="N184" s="27" t="n">
        <v>953540.6764</v>
      </c>
    </row>
    <row r="185" customFormat="false" ht="14.25" hidden="false" customHeight="false" outlineLevel="0" collapsed="false">
      <c r="A185" s="12" t="n">
        <v>181</v>
      </c>
      <c r="B185" s="13" t="s">
        <v>394</v>
      </c>
      <c r="C185" s="13" t="s">
        <v>395</v>
      </c>
      <c r="D185" s="13" t="s">
        <v>261</v>
      </c>
      <c r="E185" s="14" t="n">
        <v>2488.15</v>
      </c>
      <c r="F185" s="15" t="n">
        <v>19593.42</v>
      </c>
      <c r="G185" s="16" t="s">
        <v>21</v>
      </c>
      <c r="H185" s="14" t="n">
        <v>0</v>
      </c>
      <c r="I185" s="17" t="s">
        <v>22</v>
      </c>
      <c r="J185" s="18" t="n">
        <v>30186.23</v>
      </c>
      <c r="K185" s="15" t="n">
        <v>133.991769547325</v>
      </c>
      <c r="L185" s="15" t="n">
        <f aca="false">F185*K185</f>
        <v>2625357.01728395</v>
      </c>
      <c r="M185" s="18" t="n">
        <v>0</v>
      </c>
      <c r="N185" s="20" t="n">
        <v>75107868.1745</v>
      </c>
    </row>
    <row r="186" customFormat="false" ht="14.25" hidden="false" customHeight="false" outlineLevel="0" collapsed="false">
      <c r="A186" s="28" t="n">
        <v>182</v>
      </c>
      <c r="B186" s="29" t="s">
        <v>396</v>
      </c>
      <c r="C186" s="29" t="s">
        <v>397</v>
      </c>
      <c r="D186" s="29" t="s">
        <v>261</v>
      </c>
      <c r="E186" s="30" t="n">
        <v>0</v>
      </c>
      <c r="F186" s="15" t="n">
        <v>0</v>
      </c>
      <c r="G186" s="31" t="s">
        <v>398</v>
      </c>
      <c r="H186" s="30" t="n">
        <v>0</v>
      </c>
      <c r="I186" s="32" t="s">
        <v>29</v>
      </c>
      <c r="J186" s="33" t="n">
        <v>220000</v>
      </c>
      <c r="K186" s="15" t="n">
        <v>0</v>
      </c>
      <c r="L186" s="15" t="n">
        <f aca="false">F186*K186</f>
        <v>0</v>
      </c>
      <c r="M186" s="33" t="n">
        <v>0</v>
      </c>
      <c r="N186" s="34" t="n">
        <v>0</v>
      </c>
    </row>
    <row r="187" customFormat="false" ht="14.25" hidden="false" customHeight="false" outlineLevel="0" collapsed="false">
      <c r="A187" s="28" t="n">
        <v>183</v>
      </c>
      <c r="B187" s="29" t="s">
        <v>399</v>
      </c>
      <c r="C187" s="29" t="s">
        <v>400</v>
      </c>
      <c r="D187" s="29" t="s">
        <v>261</v>
      </c>
      <c r="E187" s="30" t="n">
        <v>0</v>
      </c>
      <c r="F187" s="15" t="n">
        <v>0</v>
      </c>
      <c r="G187" s="31" t="s">
        <v>398</v>
      </c>
      <c r="H187" s="30" t="n">
        <v>0</v>
      </c>
      <c r="I187" s="32" t="s">
        <v>29</v>
      </c>
      <c r="J187" s="33" t="n">
        <v>220000</v>
      </c>
      <c r="K187" s="15" t="n">
        <v>0</v>
      </c>
      <c r="L187" s="15" t="n">
        <f aca="false">F187*K187</f>
        <v>0</v>
      </c>
      <c r="M187" s="33" t="n">
        <v>0</v>
      </c>
      <c r="N187" s="34" t="n">
        <v>0</v>
      </c>
    </row>
    <row r="188" customFormat="false" ht="14.25" hidden="false" customHeight="false" outlineLevel="0" collapsed="false">
      <c r="A188" s="21" t="n">
        <v>184</v>
      </c>
      <c r="B188" s="22" t="s">
        <v>401</v>
      </c>
      <c r="C188" s="22" t="s">
        <v>402</v>
      </c>
      <c r="D188" s="22" t="s">
        <v>261</v>
      </c>
      <c r="E188" s="23" t="n">
        <v>14345.65</v>
      </c>
      <c r="F188" s="15" t="n">
        <v>5874</v>
      </c>
      <c r="G188" s="24" t="s">
        <v>21</v>
      </c>
      <c r="H188" s="23" t="n">
        <v>0</v>
      </c>
      <c r="I188" s="25" t="s">
        <v>22</v>
      </c>
      <c r="J188" s="26" t="n">
        <v>220000</v>
      </c>
      <c r="K188" s="15" t="n">
        <v>130.066577896138</v>
      </c>
      <c r="L188" s="15" t="n">
        <f aca="false">F188*K188</f>
        <v>764011.078561917</v>
      </c>
      <c r="M188" s="26" t="n">
        <v>0</v>
      </c>
      <c r="N188" s="27" t="n">
        <v>3156043000</v>
      </c>
    </row>
    <row r="189" customFormat="false" ht="14.25" hidden="false" customHeight="false" outlineLevel="0" collapsed="false">
      <c r="A189" s="28" t="n">
        <v>185</v>
      </c>
      <c r="B189" s="29" t="s">
        <v>403</v>
      </c>
      <c r="C189" s="29" t="s">
        <v>404</v>
      </c>
      <c r="D189" s="29" t="s">
        <v>261</v>
      </c>
      <c r="E189" s="30" t="n">
        <v>0</v>
      </c>
      <c r="F189" s="15" t="n">
        <v>0</v>
      </c>
      <c r="G189" s="31" t="s">
        <v>405</v>
      </c>
      <c r="H189" s="30" t="n">
        <v>0</v>
      </c>
      <c r="I189" s="32" t="s">
        <v>29</v>
      </c>
      <c r="J189" s="33" t="n">
        <v>2170000</v>
      </c>
      <c r="K189" s="15" t="n">
        <v>0</v>
      </c>
      <c r="L189" s="15" t="n">
        <f aca="false">F189*K189</f>
        <v>0</v>
      </c>
      <c r="M189" s="33" t="n">
        <v>0</v>
      </c>
      <c r="N189" s="34" t="n">
        <v>0</v>
      </c>
    </row>
    <row r="190" customFormat="false" ht="14.25" hidden="false" customHeight="false" outlineLevel="0" collapsed="false">
      <c r="A190" s="28" t="n">
        <v>186</v>
      </c>
      <c r="B190" s="29" t="s">
        <v>406</v>
      </c>
      <c r="C190" s="29" t="s">
        <v>407</v>
      </c>
      <c r="D190" s="29" t="s">
        <v>261</v>
      </c>
      <c r="E190" s="30" t="n">
        <v>0</v>
      </c>
      <c r="F190" s="15" t="n">
        <v>0</v>
      </c>
      <c r="G190" s="31" t="s">
        <v>405</v>
      </c>
      <c r="H190" s="30" t="n">
        <v>0</v>
      </c>
      <c r="I190" s="32" t="s">
        <v>29</v>
      </c>
      <c r="J190" s="33" t="n">
        <v>2170000</v>
      </c>
      <c r="K190" s="15" t="n">
        <v>0</v>
      </c>
      <c r="L190" s="15" t="n">
        <f aca="false">F190*K190</f>
        <v>0</v>
      </c>
      <c r="M190" s="33" t="n">
        <v>0</v>
      </c>
      <c r="N190" s="34" t="n">
        <v>0</v>
      </c>
    </row>
    <row r="191" customFormat="false" ht="14.25" hidden="false" customHeight="false" outlineLevel="0" collapsed="false">
      <c r="A191" s="12" t="n">
        <v>187</v>
      </c>
      <c r="B191" s="13" t="s">
        <v>408</v>
      </c>
      <c r="C191" s="13" t="s">
        <v>409</v>
      </c>
      <c r="D191" s="13" t="s">
        <v>261</v>
      </c>
      <c r="E191" s="14" t="n">
        <v>5915.6</v>
      </c>
      <c r="F191" s="15" t="n">
        <v>3880</v>
      </c>
      <c r="G191" s="16" t="s">
        <v>21</v>
      </c>
      <c r="H191" s="14" t="n">
        <v>0</v>
      </c>
      <c r="I191" s="17" t="s">
        <v>22</v>
      </c>
      <c r="J191" s="18" t="n">
        <v>110000</v>
      </c>
      <c r="K191" s="15" t="n">
        <v>112.664359861592</v>
      </c>
      <c r="L191" s="15" t="n">
        <f aca="false">F191*K191</f>
        <v>437137.716262976</v>
      </c>
      <c r="M191" s="18" t="n">
        <v>0</v>
      </c>
      <c r="N191" s="20" t="n">
        <v>650716000</v>
      </c>
    </row>
    <row r="192" customFormat="false" ht="14.25" hidden="false" customHeight="false" outlineLevel="0" collapsed="false">
      <c r="A192" s="21" t="n">
        <v>188</v>
      </c>
      <c r="B192" s="22" t="s">
        <v>410</v>
      </c>
      <c r="C192" s="22" t="s">
        <v>411</v>
      </c>
      <c r="D192" s="22" t="s">
        <v>261</v>
      </c>
      <c r="E192" s="23" t="n">
        <v>5443.5</v>
      </c>
      <c r="F192" s="15" t="n">
        <v>3350</v>
      </c>
      <c r="G192" s="24" t="s">
        <v>21</v>
      </c>
      <c r="H192" s="23" t="n">
        <v>0</v>
      </c>
      <c r="I192" s="25" t="s">
        <v>22</v>
      </c>
      <c r="J192" s="26" t="n">
        <v>147.41</v>
      </c>
      <c r="K192" s="15" t="n">
        <v>145.229556650246</v>
      </c>
      <c r="L192" s="15" t="n">
        <f aca="false">F192*K192</f>
        <v>486519.014778325</v>
      </c>
      <c r="M192" s="26" t="n">
        <v>0</v>
      </c>
      <c r="N192" s="27" t="n">
        <v>802426.335</v>
      </c>
    </row>
    <row r="193" customFormat="false" ht="14.25" hidden="false" customHeight="false" outlineLevel="0" collapsed="false">
      <c r="A193" s="12" t="n">
        <v>189</v>
      </c>
      <c r="B193" s="13" t="s">
        <v>412</v>
      </c>
      <c r="C193" s="13" t="s">
        <v>413</v>
      </c>
      <c r="D193" s="13" t="s">
        <v>261</v>
      </c>
      <c r="E193" s="14" t="n">
        <v>15063.45</v>
      </c>
      <c r="F193" s="15" t="n">
        <v>8057</v>
      </c>
      <c r="G193" s="16" t="s">
        <v>21</v>
      </c>
      <c r="H193" s="14" t="n">
        <v>0</v>
      </c>
      <c r="I193" s="17" t="s">
        <v>22</v>
      </c>
      <c r="J193" s="18" t="n">
        <v>15503.12</v>
      </c>
      <c r="K193" s="19" t="n">
        <v>10.86</v>
      </c>
      <c r="L193" s="15" t="n">
        <f aca="false">F193*K193</f>
        <v>87499.02</v>
      </c>
      <c r="M193" s="18" t="n">
        <v>0</v>
      </c>
      <c r="N193" s="20" t="n">
        <v>233530472.964</v>
      </c>
    </row>
    <row r="194" customFormat="false" ht="14.25" hidden="false" customHeight="false" outlineLevel="0" collapsed="false">
      <c r="A194" s="21" t="n">
        <v>190</v>
      </c>
      <c r="B194" s="22" t="s">
        <v>414</v>
      </c>
      <c r="C194" s="22" t="s">
        <v>415</v>
      </c>
      <c r="D194" s="22" t="s">
        <v>261</v>
      </c>
      <c r="E194" s="23" t="n">
        <v>174.25</v>
      </c>
      <c r="F194" s="15" t="n">
        <v>0</v>
      </c>
      <c r="G194" s="24" t="s">
        <v>416</v>
      </c>
      <c r="H194" s="23" t="n">
        <v>0</v>
      </c>
      <c r="I194" s="25" t="s">
        <v>22</v>
      </c>
      <c r="J194" s="26" t="n">
        <v>0</v>
      </c>
      <c r="K194" s="15" t="n">
        <v>0</v>
      </c>
      <c r="L194" s="15" t="n">
        <f aca="false">F194*K194</f>
        <v>0</v>
      </c>
      <c r="M194" s="26" t="n">
        <v>0</v>
      </c>
      <c r="N194" s="27" t="n">
        <v>0</v>
      </c>
    </row>
    <row r="195" customFormat="false" ht="14.25" hidden="false" customHeight="false" outlineLevel="0" collapsed="false">
      <c r="A195" s="12" t="n">
        <v>191</v>
      </c>
      <c r="B195" s="13" t="s">
        <v>417</v>
      </c>
      <c r="C195" s="13" t="s">
        <v>418</v>
      </c>
      <c r="D195" s="13" t="s">
        <v>261</v>
      </c>
      <c r="E195" s="14" t="n">
        <v>5</v>
      </c>
      <c r="F195" s="15" t="n">
        <v>0</v>
      </c>
      <c r="G195" s="16" t="s">
        <v>416</v>
      </c>
      <c r="H195" s="14" t="n">
        <v>0</v>
      </c>
      <c r="I195" s="17" t="s">
        <v>22</v>
      </c>
      <c r="J195" s="18" t="n">
        <v>79570</v>
      </c>
      <c r="K195" s="15" t="n">
        <v>0</v>
      </c>
      <c r="L195" s="15" t="n">
        <f aca="false">F195*K195</f>
        <v>0</v>
      </c>
      <c r="M195" s="18" t="n">
        <v>0</v>
      </c>
      <c r="N195" s="20" t="n">
        <v>397850</v>
      </c>
    </row>
    <row r="196" customFormat="false" ht="14.25" hidden="false" customHeight="false" outlineLevel="0" collapsed="false">
      <c r="A196" s="21" t="n">
        <v>192</v>
      </c>
      <c r="B196" s="22" t="s">
        <v>419</v>
      </c>
      <c r="C196" s="22" t="s">
        <v>420</v>
      </c>
      <c r="D196" s="22" t="s">
        <v>421</v>
      </c>
      <c r="E196" s="23" t="n">
        <v>1</v>
      </c>
      <c r="F196" s="15" t="n">
        <v>0</v>
      </c>
      <c r="G196" s="24" t="s">
        <v>50</v>
      </c>
      <c r="H196" s="23" t="n">
        <v>0</v>
      </c>
      <c r="I196" s="25" t="s">
        <v>22</v>
      </c>
      <c r="J196" s="26" t="n">
        <v>505050</v>
      </c>
      <c r="K196" s="15" t="n">
        <v>479798</v>
      </c>
      <c r="L196" s="15" t="n">
        <f aca="false">F196*K196</f>
        <v>0</v>
      </c>
      <c r="M196" s="26" t="n">
        <v>0</v>
      </c>
      <c r="N196" s="27" t="n">
        <v>505050</v>
      </c>
    </row>
    <row r="197" customFormat="false" ht="14.25" hidden="false" customHeight="false" outlineLevel="0" collapsed="false">
      <c r="A197" s="28" t="n">
        <v>193</v>
      </c>
      <c r="B197" s="29" t="s">
        <v>422</v>
      </c>
      <c r="C197" s="29" t="s">
        <v>423</v>
      </c>
      <c r="D197" s="29" t="s">
        <v>421</v>
      </c>
      <c r="E197" s="30" t="n">
        <v>0</v>
      </c>
      <c r="F197" s="15" t="n">
        <v>0</v>
      </c>
      <c r="G197" s="31" t="s">
        <v>50</v>
      </c>
      <c r="H197" s="30" t="n">
        <v>0</v>
      </c>
      <c r="I197" s="32" t="s">
        <v>29</v>
      </c>
      <c r="J197" s="33" t="n">
        <v>108270.79</v>
      </c>
      <c r="K197" s="15" t="n">
        <v>108270.79</v>
      </c>
      <c r="L197" s="15" t="n">
        <f aca="false">F197*K197</f>
        <v>0</v>
      </c>
      <c r="M197" s="33" t="n">
        <v>0</v>
      </c>
      <c r="N197" s="34" t="n">
        <v>0</v>
      </c>
    </row>
    <row r="198" customFormat="false" ht="14.25" hidden="false" customHeight="false" outlineLevel="0" collapsed="false">
      <c r="A198" s="28" t="n">
        <v>194</v>
      </c>
      <c r="B198" s="29" t="s">
        <v>424</v>
      </c>
      <c r="C198" s="29" t="s">
        <v>425</v>
      </c>
      <c r="D198" s="29" t="s">
        <v>421</v>
      </c>
      <c r="E198" s="30" t="n">
        <v>0</v>
      </c>
      <c r="F198" s="15" t="n">
        <v>0</v>
      </c>
      <c r="G198" s="31" t="s">
        <v>50</v>
      </c>
      <c r="H198" s="30" t="n">
        <v>0</v>
      </c>
      <c r="I198" s="32" t="s">
        <v>29</v>
      </c>
      <c r="J198" s="33" t="n">
        <v>90950.63</v>
      </c>
      <c r="K198" s="15" t="n">
        <v>90950.63</v>
      </c>
      <c r="L198" s="15" t="n">
        <f aca="false">F198*K198</f>
        <v>0</v>
      </c>
      <c r="M198" s="33" t="n">
        <v>0</v>
      </c>
      <c r="N198" s="34" t="n">
        <v>0</v>
      </c>
    </row>
    <row r="199" customFormat="false" ht="14.25" hidden="false" customHeight="false" outlineLevel="0" collapsed="false">
      <c r="A199" s="28" t="n">
        <v>195</v>
      </c>
      <c r="B199" s="29" t="s">
        <v>426</v>
      </c>
      <c r="C199" s="29" t="s">
        <v>427</v>
      </c>
      <c r="D199" s="29" t="s">
        <v>421</v>
      </c>
      <c r="E199" s="30" t="n">
        <v>0</v>
      </c>
      <c r="F199" s="15" t="n">
        <v>0</v>
      </c>
      <c r="G199" s="31" t="s">
        <v>50</v>
      </c>
      <c r="H199" s="30" t="n">
        <v>0</v>
      </c>
      <c r="I199" s="32" t="s">
        <v>29</v>
      </c>
      <c r="J199" s="33" t="n">
        <v>3249969</v>
      </c>
      <c r="K199" s="15" t="n">
        <v>3249969</v>
      </c>
      <c r="L199" s="15" t="n">
        <f aca="false">F199*K199</f>
        <v>0</v>
      </c>
      <c r="M199" s="33" t="n">
        <v>0</v>
      </c>
      <c r="N199" s="34" t="n">
        <v>0</v>
      </c>
    </row>
    <row r="200" customFormat="false" ht="14.25" hidden="false" customHeight="false" outlineLevel="0" collapsed="false">
      <c r="A200" s="28" t="n">
        <v>196</v>
      </c>
      <c r="B200" s="29" t="s">
        <v>428</v>
      </c>
      <c r="C200" s="29" t="s">
        <v>429</v>
      </c>
      <c r="D200" s="29" t="s">
        <v>421</v>
      </c>
      <c r="E200" s="30" t="n">
        <v>0</v>
      </c>
      <c r="F200" s="15" t="n">
        <v>0</v>
      </c>
      <c r="G200" s="31" t="s">
        <v>50</v>
      </c>
      <c r="H200" s="30" t="n">
        <v>0</v>
      </c>
      <c r="I200" s="32" t="s">
        <v>29</v>
      </c>
      <c r="J200" s="33" t="n">
        <v>351675.75</v>
      </c>
      <c r="K200" s="15" t="n">
        <v>351675.75</v>
      </c>
      <c r="L200" s="15" t="n">
        <f aca="false">F200*K200</f>
        <v>0</v>
      </c>
      <c r="M200" s="33" t="n">
        <v>0</v>
      </c>
      <c r="N200" s="34" t="n">
        <v>0</v>
      </c>
    </row>
    <row r="201" customFormat="false" ht="14.25" hidden="false" customHeight="false" outlineLevel="0" collapsed="false">
      <c r="A201" s="28" t="n">
        <v>197</v>
      </c>
      <c r="B201" s="29" t="s">
        <v>430</v>
      </c>
      <c r="C201" s="29" t="s">
        <v>431</v>
      </c>
      <c r="D201" s="29" t="s">
        <v>421</v>
      </c>
      <c r="E201" s="30" t="n">
        <v>0</v>
      </c>
      <c r="F201" s="15" t="n">
        <v>0</v>
      </c>
      <c r="G201" s="31" t="s">
        <v>50</v>
      </c>
      <c r="H201" s="30" t="n">
        <v>0</v>
      </c>
      <c r="I201" s="32" t="s">
        <v>29</v>
      </c>
      <c r="J201" s="33" t="n">
        <v>351675.75</v>
      </c>
      <c r="K201" s="15" t="n">
        <v>351675.75</v>
      </c>
      <c r="L201" s="15" t="n">
        <f aca="false">F201*K201</f>
        <v>0</v>
      </c>
      <c r="M201" s="33" t="n">
        <v>0</v>
      </c>
      <c r="N201" s="34" t="n">
        <v>0</v>
      </c>
    </row>
    <row r="202" customFormat="false" ht="14.25" hidden="false" customHeight="false" outlineLevel="0" collapsed="false">
      <c r="A202" s="28" t="n">
        <v>198</v>
      </c>
      <c r="B202" s="29" t="s">
        <v>432</v>
      </c>
      <c r="C202" s="29" t="s">
        <v>433</v>
      </c>
      <c r="D202" s="29" t="s">
        <v>421</v>
      </c>
      <c r="E202" s="30" t="n">
        <v>0</v>
      </c>
      <c r="F202" s="15" t="n">
        <v>0</v>
      </c>
      <c r="G202" s="31" t="s">
        <v>50</v>
      </c>
      <c r="H202" s="30" t="n">
        <v>0</v>
      </c>
      <c r="I202" s="32" t="s">
        <v>29</v>
      </c>
      <c r="J202" s="33" t="n">
        <v>139457.63</v>
      </c>
      <c r="K202" s="15" t="n">
        <v>139457.63</v>
      </c>
      <c r="L202" s="15" t="n">
        <f aca="false">F202*K202</f>
        <v>0</v>
      </c>
      <c r="M202" s="33" t="n">
        <v>0</v>
      </c>
      <c r="N202" s="34" t="n">
        <v>0</v>
      </c>
    </row>
    <row r="203" customFormat="false" ht="14.25" hidden="false" customHeight="false" outlineLevel="0" collapsed="false">
      <c r="A203" s="28" t="n">
        <v>199</v>
      </c>
      <c r="B203" s="29" t="s">
        <v>434</v>
      </c>
      <c r="C203" s="29" t="s">
        <v>435</v>
      </c>
      <c r="D203" s="29" t="s">
        <v>421</v>
      </c>
      <c r="E203" s="30" t="n">
        <v>0</v>
      </c>
      <c r="F203" s="15" t="n">
        <v>0</v>
      </c>
      <c r="G203" s="31" t="s">
        <v>50</v>
      </c>
      <c r="H203" s="30" t="n">
        <v>0</v>
      </c>
      <c r="I203" s="32" t="s">
        <v>29</v>
      </c>
      <c r="J203" s="33" t="n">
        <v>2255575.5</v>
      </c>
      <c r="K203" s="15" t="n">
        <v>2255575.5</v>
      </c>
      <c r="L203" s="15" t="n">
        <f aca="false">F203*K203</f>
        <v>0</v>
      </c>
      <c r="M203" s="33" t="n">
        <v>0</v>
      </c>
      <c r="N203" s="34" t="n">
        <v>0</v>
      </c>
    </row>
    <row r="204" customFormat="false" ht="14.25" hidden="false" customHeight="false" outlineLevel="0" collapsed="false">
      <c r="A204" s="28" t="n">
        <v>200</v>
      </c>
      <c r="B204" s="29" t="s">
        <v>436</v>
      </c>
      <c r="C204" s="29" t="s">
        <v>437</v>
      </c>
      <c r="D204" s="29" t="s">
        <v>421</v>
      </c>
      <c r="E204" s="30" t="n">
        <v>0</v>
      </c>
      <c r="F204" s="15" t="n">
        <v>0</v>
      </c>
      <c r="G204" s="31" t="s">
        <v>50</v>
      </c>
      <c r="H204" s="30" t="n">
        <v>0</v>
      </c>
      <c r="I204" s="32" t="s">
        <v>29</v>
      </c>
      <c r="J204" s="33" t="n">
        <v>379620</v>
      </c>
      <c r="K204" s="15" t="n">
        <v>379620</v>
      </c>
      <c r="L204" s="15" t="n">
        <f aca="false">F204*K204</f>
        <v>0</v>
      </c>
      <c r="M204" s="33" t="n">
        <v>0</v>
      </c>
      <c r="N204" s="34" t="n">
        <v>0</v>
      </c>
    </row>
    <row r="205" customFormat="false" ht="14.25" hidden="false" customHeight="false" outlineLevel="0" collapsed="false">
      <c r="A205" s="28" t="n">
        <v>201</v>
      </c>
      <c r="B205" s="29" t="s">
        <v>438</v>
      </c>
      <c r="C205" s="29" t="s">
        <v>439</v>
      </c>
      <c r="D205" s="29" t="s">
        <v>421</v>
      </c>
      <c r="E205" s="30" t="n">
        <v>0</v>
      </c>
      <c r="F205" s="15" t="n">
        <v>0</v>
      </c>
      <c r="G205" s="31" t="s">
        <v>50</v>
      </c>
      <c r="H205" s="30" t="n">
        <v>0</v>
      </c>
      <c r="I205" s="32" t="s">
        <v>29</v>
      </c>
      <c r="J205" s="33" t="n">
        <v>1311000</v>
      </c>
      <c r="K205" s="15" t="n">
        <v>0</v>
      </c>
      <c r="L205" s="15" t="n">
        <f aca="false">F205*K205</f>
        <v>0</v>
      </c>
      <c r="M205" s="33" t="n">
        <v>0</v>
      </c>
      <c r="N205" s="34" t="n">
        <v>0</v>
      </c>
    </row>
    <row r="206" customFormat="false" ht="14.25" hidden="false" customHeight="false" outlineLevel="0" collapsed="false">
      <c r="A206" s="28" t="n">
        <v>202</v>
      </c>
      <c r="B206" s="29" t="s">
        <v>440</v>
      </c>
      <c r="C206" s="29" t="s">
        <v>441</v>
      </c>
      <c r="D206" s="29" t="s">
        <v>421</v>
      </c>
      <c r="E206" s="30" t="n">
        <v>0</v>
      </c>
      <c r="F206" s="15" t="n">
        <v>0</v>
      </c>
      <c r="G206" s="31" t="s">
        <v>50</v>
      </c>
      <c r="H206" s="30" t="n">
        <v>0</v>
      </c>
      <c r="I206" s="32" t="s">
        <v>29</v>
      </c>
      <c r="J206" s="33" t="n">
        <v>764750</v>
      </c>
      <c r="K206" s="15" t="n">
        <v>0</v>
      </c>
      <c r="L206" s="15" t="n">
        <f aca="false">F206*K206</f>
        <v>0</v>
      </c>
      <c r="M206" s="33" t="n">
        <v>0</v>
      </c>
      <c r="N206" s="34" t="n">
        <v>0</v>
      </c>
    </row>
    <row r="207" customFormat="false" ht="14.25" hidden="false" customHeight="false" outlineLevel="0" collapsed="false">
      <c r="A207" s="28" t="n">
        <v>203</v>
      </c>
      <c r="B207" s="29" t="s">
        <v>442</v>
      </c>
      <c r="C207" s="29" t="s">
        <v>443</v>
      </c>
      <c r="D207" s="29" t="s">
        <v>421</v>
      </c>
      <c r="E207" s="30" t="n">
        <v>0</v>
      </c>
      <c r="F207" s="15" t="n">
        <v>0</v>
      </c>
      <c r="G207" s="31" t="s">
        <v>50</v>
      </c>
      <c r="H207" s="30" t="n">
        <v>0</v>
      </c>
      <c r="I207" s="32" t="s">
        <v>29</v>
      </c>
      <c r="J207" s="33" t="n">
        <v>2493750</v>
      </c>
      <c r="K207" s="15" t="n">
        <v>0</v>
      </c>
      <c r="L207" s="15" t="n">
        <f aca="false">F207*K207</f>
        <v>0</v>
      </c>
      <c r="M207" s="33" t="n">
        <v>0</v>
      </c>
      <c r="N207" s="34" t="n">
        <v>0</v>
      </c>
    </row>
    <row r="208" customFormat="false" ht="14.25" hidden="false" customHeight="false" outlineLevel="0" collapsed="false">
      <c r="A208" s="28" t="n">
        <v>204</v>
      </c>
      <c r="B208" s="29" t="s">
        <v>444</v>
      </c>
      <c r="C208" s="29" t="s">
        <v>445</v>
      </c>
      <c r="D208" s="29" t="s">
        <v>421</v>
      </c>
      <c r="E208" s="30" t="n">
        <v>0</v>
      </c>
      <c r="F208" s="15" t="n">
        <v>0</v>
      </c>
      <c r="G208" s="31" t="s">
        <v>50</v>
      </c>
      <c r="H208" s="30" t="n">
        <v>0</v>
      </c>
      <c r="I208" s="32" t="s">
        <v>29</v>
      </c>
      <c r="J208" s="33" t="n">
        <v>1441625</v>
      </c>
      <c r="K208" s="15" t="n">
        <v>0</v>
      </c>
      <c r="L208" s="15" t="n">
        <f aca="false">F208*K208</f>
        <v>0</v>
      </c>
      <c r="M208" s="33" t="n">
        <v>0</v>
      </c>
      <c r="N208" s="34" t="n">
        <v>0</v>
      </c>
    </row>
    <row r="209" customFormat="false" ht="14.25" hidden="false" customHeight="false" outlineLevel="0" collapsed="false">
      <c r="A209" s="28" t="n">
        <v>205</v>
      </c>
      <c r="B209" s="29" t="s">
        <v>446</v>
      </c>
      <c r="C209" s="29" t="s">
        <v>447</v>
      </c>
      <c r="D209" s="29" t="s">
        <v>421</v>
      </c>
      <c r="E209" s="30" t="n">
        <v>0</v>
      </c>
      <c r="F209" s="15" t="n">
        <v>0</v>
      </c>
      <c r="G209" s="31" t="s">
        <v>50</v>
      </c>
      <c r="H209" s="30" t="n">
        <v>0</v>
      </c>
      <c r="I209" s="32" t="s">
        <v>29</v>
      </c>
      <c r="J209" s="33" t="n">
        <v>178125</v>
      </c>
      <c r="K209" s="15" t="n">
        <v>0</v>
      </c>
      <c r="L209" s="15" t="n">
        <f aca="false">F209*K209</f>
        <v>0</v>
      </c>
      <c r="M209" s="33" t="n">
        <v>0</v>
      </c>
      <c r="N209" s="34" t="n">
        <v>0</v>
      </c>
    </row>
    <row r="210" customFormat="false" ht="14.25" hidden="false" customHeight="false" outlineLevel="0" collapsed="false">
      <c r="A210" s="28" t="n">
        <v>206</v>
      </c>
      <c r="B210" s="29" t="s">
        <v>448</v>
      </c>
      <c r="C210" s="29" t="s">
        <v>449</v>
      </c>
      <c r="D210" s="29" t="s">
        <v>421</v>
      </c>
      <c r="E210" s="30" t="n">
        <v>0</v>
      </c>
      <c r="F210" s="15" t="n">
        <v>0</v>
      </c>
      <c r="G210" s="31" t="s">
        <v>50</v>
      </c>
      <c r="H210" s="30" t="n">
        <v>0</v>
      </c>
      <c r="I210" s="32" t="s">
        <v>29</v>
      </c>
      <c r="J210" s="33" t="n">
        <v>3740625</v>
      </c>
      <c r="K210" s="15" t="n">
        <v>0</v>
      </c>
      <c r="L210" s="15" t="n">
        <f aca="false">F210*K210</f>
        <v>0</v>
      </c>
      <c r="M210" s="33" t="n">
        <v>0</v>
      </c>
      <c r="N210" s="34" t="n">
        <v>0</v>
      </c>
    </row>
    <row r="211" customFormat="false" ht="14.25" hidden="false" customHeight="false" outlineLevel="0" collapsed="false">
      <c r="A211" s="28" t="n">
        <v>207</v>
      </c>
      <c r="B211" s="29" t="s">
        <v>450</v>
      </c>
      <c r="C211" s="29" t="s">
        <v>451</v>
      </c>
      <c r="D211" s="29" t="s">
        <v>421</v>
      </c>
      <c r="E211" s="30" t="n">
        <v>0</v>
      </c>
      <c r="F211" s="15" t="n">
        <v>0</v>
      </c>
      <c r="G211" s="31" t="s">
        <v>50</v>
      </c>
      <c r="H211" s="30" t="n">
        <v>0</v>
      </c>
      <c r="I211" s="32" t="s">
        <v>29</v>
      </c>
      <c r="J211" s="33" t="n">
        <v>2846437.5</v>
      </c>
      <c r="K211" s="15" t="n">
        <v>0</v>
      </c>
      <c r="L211" s="15" t="n">
        <f aca="false">F211*K211</f>
        <v>0</v>
      </c>
      <c r="M211" s="33" t="n">
        <v>0</v>
      </c>
      <c r="N211" s="34" t="n">
        <v>0</v>
      </c>
    </row>
    <row r="212" customFormat="false" ht="14.25" hidden="false" customHeight="false" outlineLevel="0" collapsed="false">
      <c r="A212" s="28" t="n">
        <v>208</v>
      </c>
      <c r="B212" s="29" t="s">
        <v>452</v>
      </c>
      <c r="C212" s="29" t="s">
        <v>453</v>
      </c>
      <c r="D212" s="29" t="s">
        <v>421</v>
      </c>
      <c r="E212" s="30" t="n">
        <v>0</v>
      </c>
      <c r="F212" s="15" t="n">
        <v>0</v>
      </c>
      <c r="G212" s="31" t="s">
        <v>50</v>
      </c>
      <c r="H212" s="30" t="n">
        <v>0</v>
      </c>
      <c r="I212" s="32" t="s">
        <v>29</v>
      </c>
      <c r="J212" s="33" t="n">
        <v>7184375</v>
      </c>
      <c r="K212" s="15" t="n">
        <v>0</v>
      </c>
      <c r="L212" s="15" t="n">
        <f aca="false">F212*K212</f>
        <v>0</v>
      </c>
      <c r="M212" s="33" t="n">
        <v>0</v>
      </c>
      <c r="N212" s="34" t="n">
        <v>0</v>
      </c>
    </row>
    <row r="213" customFormat="false" ht="14.25" hidden="false" customHeight="false" outlineLevel="0" collapsed="false">
      <c r="A213" s="28" t="n">
        <v>209</v>
      </c>
      <c r="B213" s="29" t="s">
        <v>454</v>
      </c>
      <c r="C213" s="29" t="s">
        <v>455</v>
      </c>
      <c r="D213" s="29" t="s">
        <v>421</v>
      </c>
      <c r="E213" s="30" t="n">
        <v>0</v>
      </c>
      <c r="F213" s="15" t="n">
        <v>0</v>
      </c>
      <c r="G213" s="31" t="s">
        <v>50</v>
      </c>
      <c r="H213" s="30" t="n">
        <v>0</v>
      </c>
      <c r="I213" s="32" t="s">
        <v>29</v>
      </c>
      <c r="J213" s="33" t="n">
        <v>4429375</v>
      </c>
      <c r="K213" s="15" t="n">
        <v>0</v>
      </c>
      <c r="L213" s="15" t="n">
        <f aca="false">F213*K213</f>
        <v>0</v>
      </c>
      <c r="M213" s="33" t="n">
        <v>0</v>
      </c>
      <c r="N213" s="34" t="n">
        <v>0</v>
      </c>
    </row>
    <row r="214" customFormat="false" ht="14.25" hidden="false" customHeight="false" outlineLevel="0" collapsed="false">
      <c r="A214" s="21" t="n">
        <v>210</v>
      </c>
      <c r="B214" s="22" t="s">
        <v>456</v>
      </c>
      <c r="C214" s="22" t="s">
        <v>457</v>
      </c>
      <c r="D214" s="22" t="s">
        <v>421</v>
      </c>
      <c r="E214" s="23" t="n">
        <v>1</v>
      </c>
      <c r="F214" s="15" t="n">
        <v>0</v>
      </c>
      <c r="G214" s="24" t="s">
        <v>50</v>
      </c>
      <c r="H214" s="23" t="n">
        <v>0</v>
      </c>
      <c r="I214" s="25" t="s">
        <v>22</v>
      </c>
      <c r="J214" s="26" t="n">
        <v>1033436.57</v>
      </c>
      <c r="K214" s="15" t="n">
        <v>0</v>
      </c>
      <c r="L214" s="15" t="n">
        <f aca="false">F214*K214</f>
        <v>0</v>
      </c>
      <c r="M214" s="26" t="n">
        <v>0</v>
      </c>
      <c r="N214" s="27" t="n">
        <v>1033436.57</v>
      </c>
    </row>
    <row r="215" customFormat="false" ht="14.25" hidden="false" customHeight="false" outlineLevel="0" collapsed="false">
      <c r="A215" s="12" t="n">
        <v>211</v>
      </c>
      <c r="B215" s="13" t="s">
        <v>458</v>
      </c>
      <c r="C215" s="13" t="s">
        <v>459</v>
      </c>
      <c r="D215" s="13" t="s">
        <v>460</v>
      </c>
      <c r="E215" s="14" t="n">
        <v>3</v>
      </c>
      <c r="F215" s="15" t="n">
        <v>2</v>
      </c>
      <c r="G215" s="16" t="s">
        <v>50</v>
      </c>
      <c r="H215" s="14" t="n">
        <v>0</v>
      </c>
      <c r="I215" s="17" t="s">
        <v>22</v>
      </c>
      <c r="J215" s="18" t="n">
        <v>125000</v>
      </c>
      <c r="K215" s="19" t="n">
        <v>100000</v>
      </c>
      <c r="L215" s="15" t="n">
        <f aca="false">F215*K215</f>
        <v>200000</v>
      </c>
      <c r="M215" s="18" t="n">
        <v>0</v>
      </c>
      <c r="N215" s="20" t="n">
        <v>375000</v>
      </c>
    </row>
    <row r="216" customFormat="false" ht="14.25" hidden="false" customHeight="false" outlineLevel="0" collapsed="false">
      <c r="A216" s="21" t="n">
        <v>212</v>
      </c>
      <c r="B216" s="22" t="s">
        <v>461</v>
      </c>
      <c r="C216" s="22" t="s">
        <v>462</v>
      </c>
      <c r="D216" s="22" t="s">
        <v>460</v>
      </c>
      <c r="E216" s="23" t="n">
        <v>4</v>
      </c>
      <c r="F216" s="15" t="n">
        <v>4</v>
      </c>
      <c r="G216" s="24" t="s">
        <v>50</v>
      </c>
      <c r="H216" s="23" t="n">
        <v>0</v>
      </c>
      <c r="I216" s="25" t="s">
        <v>22</v>
      </c>
      <c r="J216" s="26" t="n">
        <v>188700</v>
      </c>
      <c r="K216" s="15" t="n">
        <v>188700</v>
      </c>
      <c r="L216" s="15" t="n">
        <f aca="false">F216*K216</f>
        <v>754800</v>
      </c>
      <c r="M216" s="26" t="n">
        <v>0</v>
      </c>
      <c r="N216" s="27" t="n">
        <v>754800</v>
      </c>
    </row>
    <row r="217" customFormat="false" ht="14.25" hidden="false" customHeight="false" outlineLevel="0" collapsed="false">
      <c r="A217" s="12" t="n">
        <v>213</v>
      </c>
      <c r="B217" s="13" t="s">
        <v>463</v>
      </c>
      <c r="C217" s="13" t="s">
        <v>464</v>
      </c>
      <c r="D217" s="13" t="s">
        <v>460</v>
      </c>
      <c r="E217" s="14" t="n">
        <v>10</v>
      </c>
      <c r="F217" s="15" t="n">
        <v>0</v>
      </c>
      <c r="G217" s="16" t="s">
        <v>193</v>
      </c>
      <c r="H217" s="14" t="n">
        <v>0</v>
      </c>
      <c r="I217" s="17" t="s">
        <v>22</v>
      </c>
      <c r="J217" s="18" t="n">
        <v>2700</v>
      </c>
      <c r="K217" s="15" t="n">
        <v>0</v>
      </c>
      <c r="L217" s="15" t="n">
        <f aca="false">F217*K217</f>
        <v>0</v>
      </c>
      <c r="M217" s="18" t="n">
        <v>0</v>
      </c>
      <c r="N217" s="20" t="n">
        <v>27000</v>
      </c>
    </row>
    <row r="218" customFormat="false" ht="14.25" hidden="false" customHeight="false" outlineLevel="0" collapsed="false">
      <c r="A218" s="21" t="n">
        <v>214</v>
      </c>
      <c r="B218" s="22" t="s">
        <v>465</v>
      </c>
      <c r="C218" s="22" t="s">
        <v>466</v>
      </c>
      <c r="D218" s="22" t="s">
        <v>460</v>
      </c>
      <c r="E218" s="23" t="n">
        <v>3</v>
      </c>
      <c r="F218" s="15" t="n">
        <v>0</v>
      </c>
      <c r="G218" s="24" t="s">
        <v>50</v>
      </c>
      <c r="H218" s="23" t="n">
        <v>0</v>
      </c>
      <c r="I218" s="25" t="s">
        <v>22</v>
      </c>
      <c r="J218" s="26" t="n">
        <v>20000</v>
      </c>
      <c r="K218" s="15" t="n">
        <v>0</v>
      </c>
      <c r="L218" s="15" t="n">
        <f aca="false">F218*K218</f>
        <v>0</v>
      </c>
      <c r="M218" s="26" t="n">
        <v>0</v>
      </c>
      <c r="N218" s="27" t="n">
        <v>60000</v>
      </c>
    </row>
    <row r="219" customFormat="false" ht="14.25" hidden="false" customHeight="false" outlineLevel="0" collapsed="false">
      <c r="A219" s="12" t="n">
        <v>215</v>
      </c>
      <c r="B219" s="13" t="s">
        <v>467</v>
      </c>
      <c r="C219" s="13" t="s">
        <v>468</v>
      </c>
      <c r="D219" s="13" t="s">
        <v>460</v>
      </c>
      <c r="E219" s="14" t="n">
        <v>2</v>
      </c>
      <c r="F219" s="15" t="n">
        <v>5</v>
      </c>
      <c r="G219" s="16" t="s">
        <v>50</v>
      </c>
      <c r="H219" s="14" t="n">
        <v>0</v>
      </c>
      <c r="I219" s="17" t="s">
        <v>22</v>
      </c>
      <c r="J219" s="18" t="n">
        <v>59250</v>
      </c>
      <c r="K219" s="19" t="n">
        <v>59250</v>
      </c>
      <c r="L219" s="15" t="n">
        <f aca="false">F219*K219</f>
        <v>296250</v>
      </c>
      <c r="M219" s="18" t="n">
        <v>0</v>
      </c>
      <c r="N219" s="20" t="n">
        <v>118500</v>
      </c>
    </row>
    <row r="220" customFormat="false" ht="14.25" hidden="false" customHeight="false" outlineLevel="0" collapsed="false">
      <c r="A220" s="28" t="n">
        <v>216</v>
      </c>
      <c r="B220" s="29" t="s">
        <v>469</v>
      </c>
      <c r="C220" s="29" t="s">
        <v>470</v>
      </c>
      <c r="D220" s="29" t="s">
        <v>460</v>
      </c>
      <c r="E220" s="30" t="n">
        <v>0</v>
      </c>
      <c r="F220" s="15" t="n">
        <v>0</v>
      </c>
      <c r="G220" s="31" t="s">
        <v>50</v>
      </c>
      <c r="H220" s="30" t="n">
        <v>0</v>
      </c>
      <c r="I220" s="32" t="s">
        <v>29</v>
      </c>
      <c r="J220" s="33" t="n">
        <v>250000</v>
      </c>
      <c r="K220" s="15" t="n">
        <v>0</v>
      </c>
      <c r="L220" s="15" t="n">
        <f aca="false">F220*K220</f>
        <v>0</v>
      </c>
      <c r="M220" s="33" t="n">
        <v>0</v>
      </c>
      <c r="N220" s="34" t="n">
        <v>0</v>
      </c>
    </row>
    <row r="221" customFormat="false" ht="14.25" hidden="false" customHeight="false" outlineLevel="0" collapsed="false">
      <c r="A221" s="28" t="n">
        <v>217</v>
      </c>
      <c r="B221" s="29" t="s">
        <v>471</v>
      </c>
      <c r="C221" s="29" t="s">
        <v>472</v>
      </c>
      <c r="D221" s="29" t="s">
        <v>460</v>
      </c>
      <c r="E221" s="30" t="n">
        <v>0</v>
      </c>
      <c r="F221" s="15" t="n">
        <v>0</v>
      </c>
      <c r="G221" s="31" t="s">
        <v>50</v>
      </c>
      <c r="H221" s="30" t="n">
        <v>0</v>
      </c>
      <c r="I221" s="32" t="s">
        <v>29</v>
      </c>
      <c r="J221" s="33" t="n">
        <v>0</v>
      </c>
      <c r="K221" s="15" t="n">
        <v>0</v>
      </c>
      <c r="L221" s="15" t="n">
        <f aca="false">F221*K221</f>
        <v>0</v>
      </c>
      <c r="M221" s="33" t="n">
        <v>0</v>
      </c>
      <c r="N221" s="34" t="n">
        <v>0</v>
      </c>
    </row>
    <row r="222" customFormat="false" ht="14.25" hidden="false" customHeight="false" outlineLevel="0" collapsed="false">
      <c r="A222" s="28" t="n">
        <v>218</v>
      </c>
      <c r="B222" s="29" t="s">
        <v>473</v>
      </c>
      <c r="C222" s="29" t="s">
        <v>474</v>
      </c>
      <c r="D222" s="29" t="s">
        <v>460</v>
      </c>
      <c r="E222" s="30" t="n">
        <v>0</v>
      </c>
      <c r="F222" s="15" t="n">
        <v>0</v>
      </c>
      <c r="G222" s="31" t="s">
        <v>50</v>
      </c>
      <c r="H222" s="30" t="n">
        <v>0</v>
      </c>
      <c r="I222" s="32" t="s">
        <v>29</v>
      </c>
      <c r="J222" s="33" t="n">
        <v>0</v>
      </c>
      <c r="K222" s="15" t="n">
        <v>0</v>
      </c>
      <c r="L222" s="15" t="n">
        <f aca="false">F222*K222</f>
        <v>0</v>
      </c>
      <c r="M222" s="33" t="n">
        <v>0</v>
      </c>
      <c r="N222" s="34" t="n">
        <v>0</v>
      </c>
    </row>
    <row r="223" customFormat="false" ht="14.25" hidden="false" customHeight="false" outlineLevel="0" collapsed="false">
      <c r="A223" s="12" t="n">
        <v>219</v>
      </c>
      <c r="B223" s="13" t="s">
        <v>475</v>
      </c>
      <c r="C223" s="13" t="s">
        <v>476</v>
      </c>
      <c r="D223" s="13" t="s">
        <v>460</v>
      </c>
      <c r="E223" s="14" t="n">
        <v>5</v>
      </c>
      <c r="F223" s="15" t="n">
        <v>2</v>
      </c>
      <c r="G223" s="16" t="s">
        <v>50</v>
      </c>
      <c r="H223" s="14" t="n">
        <v>0</v>
      </c>
      <c r="I223" s="17" t="s">
        <v>22</v>
      </c>
      <c r="J223" s="18" t="n">
        <v>35000</v>
      </c>
      <c r="K223" s="15" t="n">
        <v>17500</v>
      </c>
      <c r="L223" s="15" t="n">
        <f aca="false">F223*K223</f>
        <v>35000</v>
      </c>
      <c r="M223" s="18" t="n">
        <v>0</v>
      </c>
      <c r="N223" s="20" t="n">
        <v>175000</v>
      </c>
    </row>
    <row r="224" customFormat="false" ht="14.25" hidden="false" customHeight="false" outlineLevel="0" collapsed="false">
      <c r="A224" s="21" t="n">
        <v>220</v>
      </c>
      <c r="B224" s="22" t="s">
        <v>477</v>
      </c>
      <c r="C224" s="22" t="s">
        <v>478</v>
      </c>
      <c r="D224" s="22" t="s">
        <v>460</v>
      </c>
      <c r="E224" s="23" t="n">
        <v>3</v>
      </c>
      <c r="F224" s="15" t="n">
        <v>2</v>
      </c>
      <c r="G224" s="24" t="s">
        <v>50</v>
      </c>
      <c r="H224" s="23" t="n">
        <v>0</v>
      </c>
      <c r="I224" s="25" t="s">
        <v>22</v>
      </c>
      <c r="J224" s="26" t="n">
        <v>65000</v>
      </c>
      <c r="K224" s="15" t="n">
        <v>65000</v>
      </c>
      <c r="L224" s="15" t="n">
        <f aca="false">F224*K224</f>
        <v>130000</v>
      </c>
      <c r="M224" s="26" t="n">
        <v>0</v>
      </c>
      <c r="N224" s="27" t="n">
        <v>195000</v>
      </c>
    </row>
    <row r="225" customFormat="false" ht="14.25" hidden="false" customHeight="false" outlineLevel="0" collapsed="false">
      <c r="A225" s="12" t="n">
        <v>221</v>
      </c>
      <c r="B225" s="13" t="s">
        <v>479</v>
      </c>
      <c r="C225" s="13" t="s">
        <v>480</v>
      </c>
      <c r="D225" s="13" t="s">
        <v>460</v>
      </c>
      <c r="E225" s="14" t="n">
        <v>8</v>
      </c>
      <c r="F225" s="15" t="n">
        <v>1</v>
      </c>
      <c r="G225" s="16" t="s">
        <v>50</v>
      </c>
      <c r="H225" s="14" t="n">
        <v>0</v>
      </c>
      <c r="I225" s="17" t="s">
        <v>22</v>
      </c>
      <c r="J225" s="18" t="n">
        <v>66387.38</v>
      </c>
      <c r="K225" s="15" t="n">
        <v>75000</v>
      </c>
      <c r="L225" s="15" t="n">
        <f aca="false">F225*K225</f>
        <v>75000</v>
      </c>
      <c r="M225" s="18" t="n">
        <v>0</v>
      </c>
      <c r="N225" s="20" t="n">
        <v>531099.04</v>
      </c>
    </row>
    <row r="226" customFormat="false" ht="14.25" hidden="false" customHeight="false" outlineLevel="0" collapsed="false">
      <c r="A226" s="28" t="n">
        <v>222</v>
      </c>
      <c r="B226" s="29" t="s">
        <v>481</v>
      </c>
      <c r="C226" s="29" t="s">
        <v>482</v>
      </c>
      <c r="D226" s="29" t="s">
        <v>460</v>
      </c>
      <c r="E226" s="30" t="n">
        <v>0</v>
      </c>
      <c r="F226" s="15" t="n">
        <v>3</v>
      </c>
      <c r="G226" s="31" t="s">
        <v>50</v>
      </c>
      <c r="H226" s="30" t="n">
        <v>0</v>
      </c>
      <c r="I226" s="32" t="s">
        <v>29</v>
      </c>
      <c r="J226" s="33" t="n">
        <v>10000</v>
      </c>
      <c r="K226" s="19" t="n">
        <v>10000</v>
      </c>
      <c r="L226" s="15" t="n">
        <f aca="false">F226*K226</f>
        <v>30000</v>
      </c>
      <c r="M226" s="33" t="n">
        <v>0</v>
      </c>
      <c r="N226" s="34" t="n">
        <v>0</v>
      </c>
    </row>
    <row r="227" customFormat="false" ht="14.25" hidden="false" customHeight="false" outlineLevel="0" collapsed="false">
      <c r="A227" s="12" t="n">
        <v>223</v>
      </c>
      <c r="B227" s="13" t="s">
        <v>483</v>
      </c>
      <c r="C227" s="13" t="s">
        <v>484</v>
      </c>
      <c r="D227" s="13" t="s">
        <v>460</v>
      </c>
      <c r="E227" s="14" t="n">
        <v>3</v>
      </c>
      <c r="F227" s="15" t="n">
        <v>0</v>
      </c>
      <c r="G227" s="16" t="s">
        <v>50</v>
      </c>
      <c r="H227" s="14" t="n">
        <v>0</v>
      </c>
      <c r="I227" s="17" t="s">
        <v>22</v>
      </c>
      <c r="J227" s="18" t="n">
        <v>185000</v>
      </c>
      <c r="K227" s="15" t="n">
        <v>185000</v>
      </c>
      <c r="L227" s="15" t="n">
        <f aca="false">F227*K227</f>
        <v>0</v>
      </c>
      <c r="M227" s="18" t="n">
        <v>0</v>
      </c>
      <c r="N227" s="20" t="n">
        <v>555000</v>
      </c>
    </row>
    <row r="228" customFormat="false" ht="14.25" hidden="false" customHeight="false" outlineLevel="0" collapsed="false">
      <c r="A228" s="21" t="n">
        <v>224</v>
      </c>
      <c r="B228" s="22" t="s">
        <v>485</v>
      </c>
      <c r="C228" s="22" t="s">
        <v>486</v>
      </c>
      <c r="D228" s="22" t="s">
        <v>460</v>
      </c>
      <c r="E228" s="23" t="n">
        <v>50</v>
      </c>
      <c r="F228" s="15" t="n">
        <v>50</v>
      </c>
      <c r="G228" s="24" t="s">
        <v>50</v>
      </c>
      <c r="H228" s="23" t="n">
        <v>0</v>
      </c>
      <c r="I228" s="25" t="s">
        <v>22</v>
      </c>
      <c r="J228" s="26" t="n">
        <v>4260</v>
      </c>
      <c r="K228" s="19" t="n">
        <v>0</v>
      </c>
      <c r="L228" s="15" t="n">
        <f aca="false">F228*K228</f>
        <v>0</v>
      </c>
      <c r="M228" s="26" t="n">
        <v>0</v>
      </c>
      <c r="N228" s="27" t="n">
        <v>213000</v>
      </c>
    </row>
    <row r="229" customFormat="false" ht="14.25" hidden="false" customHeight="false" outlineLevel="0" collapsed="false">
      <c r="A229" s="12" t="n">
        <v>225</v>
      </c>
      <c r="B229" s="13" t="s">
        <v>487</v>
      </c>
      <c r="C229" s="13" t="s">
        <v>488</v>
      </c>
      <c r="D229" s="13" t="s">
        <v>460</v>
      </c>
      <c r="E229" s="14" t="n">
        <v>133</v>
      </c>
      <c r="F229" s="15" t="n">
        <v>0</v>
      </c>
      <c r="G229" s="16" t="s">
        <v>50</v>
      </c>
      <c r="H229" s="14" t="n">
        <v>0</v>
      </c>
      <c r="I229" s="17" t="s">
        <v>22</v>
      </c>
      <c r="J229" s="18" t="n">
        <v>12000</v>
      </c>
      <c r="K229" s="15" t="n">
        <v>0</v>
      </c>
      <c r="L229" s="15" t="n">
        <f aca="false">F229*K229</f>
        <v>0</v>
      </c>
      <c r="M229" s="18" t="n">
        <v>0</v>
      </c>
      <c r="N229" s="20" t="n">
        <v>1596000</v>
      </c>
    </row>
    <row r="230" customFormat="false" ht="14.25" hidden="false" customHeight="false" outlineLevel="0" collapsed="false">
      <c r="A230" s="21" t="n">
        <v>226</v>
      </c>
      <c r="B230" s="22" t="s">
        <v>489</v>
      </c>
      <c r="C230" s="22" t="s">
        <v>490</v>
      </c>
      <c r="D230" s="22" t="s">
        <v>460</v>
      </c>
      <c r="E230" s="23" t="n">
        <v>1</v>
      </c>
      <c r="F230" s="15" t="n">
        <v>1</v>
      </c>
      <c r="G230" s="24" t="s">
        <v>50</v>
      </c>
      <c r="H230" s="23" t="n">
        <v>0</v>
      </c>
      <c r="I230" s="25" t="s">
        <v>22</v>
      </c>
      <c r="J230" s="26" t="n">
        <v>37200</v>
      </c>
      <c r="K230" s="19" t="n">
        <v>37200</v>
      </c>
      <c r="L230" s="15" t="n">
        <f aca="false">F230*K230</f>
        <v>37200</v>
      </c>
      <c r="M230" s="26" t="n">
        <v>0</v>
      </c>
      <c r="N230" s="27" t="n">
        <v>37200</v>
      </c>
    </row>
    <row r="231" customFormat="false" ht="14.25" hidden="false" customHeight="false" outlineLevel="0" collapsed="false">
      <c r="A231" s="12" t="n">
        <v>227</v>
      </c>
      <c r="B231" s="13" t="s">
        <v>491</v>
      </c>
      <c r="C231" s="13" t="s">
        <v>492</v>
      </c>
      <c r="D231" s="13" t="s">
        <v>460</v>
      </c>
      <c r="E231" s="14" t="n">
        <v>2</v>
      </c>
      <c r="F231" s="15" t="n">
        <v>12</v>
      </c>
      <c r="G231" s="16" t="s">
        <v>50</v>
      </c>
      <c r="H231" s="14" t="n">
        <v>0</v>
      </c>
      <c r="I231" s="17" t="s">
        <v>22</v>
      </c>
      <c r="J231" s="18" t="n">
        <v>62400</v>
      </c>
      <c r="K231" s="19" t="n">
        <v>5200</v>
      </c>
      <c r="L231" s="15" t="n">
        <f aca="false">F231*K231</f>
        <v>62400</v>
      </c>
      <c r="M231" s="18" t="n">
        <v>0</v>
      </c>
      <c r="N231" s="20" t="n">
        <v>124800</v>
      </c>
    </row>
    <row r="232" customFormat="false" ht="14.25" hidden="false" customHeight="false" outlineLevel="0" collapsed="false">
      <c r="A232" s="21" t="n">
        <v>228</v>
      </c>
      <c r="B232" s="22" t="s">
        <v>493</v>
      </c>
      <c r="C232" s="22" t="s">
        <v>494</v>
      </c>
      <c r="D232" s="22" t="s">
        <v>460</v>
      </c>
      <c r="E232" s="23" t="n">
        <v>2</v>
      </c>
      <c r="F232" s="15" t="n">
        <v>0</v>
      </c>
      <c r="G232" s="24" t="s">
        <v>50</v>
      </c>
      <c r="H232" s="23" t="n">
        <v>0</v>
      </c>
      <c r="I232" s="25" t="s">
        <v>22</v>
      </c>
      <c r="J232" s="26" t="n">
        <v>65000</v>
      </c>
      <c r="K232" s="15" t="n">
        <v>0</v>
      </c>
      <c r="L232" s="15" t="n">
        <f aca="false">F232*K232</f>
        <v>0</v>
      </c>
      <c r="M232" s="26" t="n">
        <v>0</v>
      </c>
      <c r="N232" s="27" t="n">
        <v>130000</v>
      </c>
    </row>
    <row r="233" customFormat="false" ht="14.25" hidden="false" customHeight="false" outlineLevel="0" collapsed="false">
      <c r="A233" s="12" t="n">
        <v>229</v>
      </c>
      <c r="B233" s="13" t="s">
        <v>495</v>
      </c>
      <c r="C233" s="13" t="s">
        <v>496</v>
      </c>
      <c r="D233" s="13" t="s">
        <v>460</v>
      </c>
      <c r="E233" s="14" t="n">
        <v>2</v>
      </c>
      <c r="F233" s="15" t="n">
        <v>1</v>
      </c>
      <c r="G233" s="16" t="s">
        <v>50</v>
      </c>
      <c r="H233" s="14" t="n">
        <v>0</v>
      </c>
      <c r="I233" s="17" t="s">
        <v>22</v>
      </c>
      <c r="J233" s="18" t="n">
        <v>32000</v>
      </c>
      <c r="K233" s="19" t="n">
        <v>32000</v>
      </c>
      <c r="L233" s="15" t="n">
        <f aca="false">F233*K233</f>
        <v>32000</v>
      </c>
      <c r="M233" s="18" t="n">
        <v>0</v>
      </c>
      <c r="N233" s="20" t="n">
        <v>64000</v>
      </c>
    </row>
    <row r="234" customFormat="false" ht="14.25" hidden="false" customHeight="false" outlineLevel="0" collapsed="false">
      <c r="A234" s="21" t="n">
        <v>230</v>
      </c>
      <c r="B234" s="22" t="s">
        <v>497</v>
      </c>
      <c r="C234" s="22" t="s">
        <v>498</v>
      </c>
      <c r="D234" s="22" t="s">
        <v>460</v>
      </c>
      <c r="E234" s="23" t="n">
        <v>2</v>
      </c>
      <c r="F234" s="15" t="n">
        <v>0</v>
      </c>
      <c r="G234" s="24" t="s">
        <v>50</v>
      </c>
      <c r="H234" s="23" t="n">
        <v>0</v>
      </c>
      <c r="I234" s="25" t="s">
        <v>22</v>
      </c>
      <c r="J234" s="26" t="n">
        <v>8000</v>
      </c>
      <c r="K234" s="15" t="n">
        <v>8000</v>
      </c>
      <c r="L234" s="15" t="n">
        <f aca="false">F234*K234</f>
        <v>0</v>
      </c>
      <c r="M234" s="26" t="n">
        <v>0</v>
      </c>
      <c r="N234" s="27" t="n">
        <v>16000</v>
      </c>
    </row>
    <row r="235" customFormat="false" ht="14.25" hidden="false" customHeight="false" outlineLevel="0" collapsed="false">
      <c r="A235" s="12" t="n">
        <v>231</v>
      </c>
      <c r="B235" s="13" t="s">
        <v>499</v>
      </c>
      <c r="C235" s="13" t="s">
        <v>500</v>
      </c>
      <c r="D235" s="13" t="s">
        <v>460</v>
      </c>
      <c r="E235" s="14" t="n">
        <v>2</v>
      </c>
      <c r="F235" s="15" t="n">
        <v>0</v>
      </c>
      <c r="G235" s="16" t="s">
        <v>50</v>
      </c>
      <c r="H235" s="14" t="n">
        <v>0</v>
      </c>
      <c r="I235" s="17" t="s">
        <v>22</v>
      </c>
      <c r="J235" s="18" t="n">
        <v>7000</v>
      </c>
      <c r="K235" s="15" t="n">
        <v>0</v>
      </c>
      <c r="L235" s="15" t="n">
        <f aca="false">F235*K235</f>
        <v>0</v>
      </c>
      <c r="M235" s="18" t="n">
        <v>0</v>
      </c>
      <c r="N235" s="20" t="n">
        <v>14000</v>
      </c>
    </row>
    <row r="236" customFormat="false" ht="14.25" hidden="false" customHeight="false" outlineLevel="0" collapsed="false">
      <c r="A236" s="21" t="n">
        <v>232</v>
      </c>
      <c r="B236" s="22" t="s">
        <v>501</v>
      </c>
      <c r="C236" s="22" t="s">
        <v>502</v>
      </c>
      <c r="D236" s="22" t="s">
        <v>460</v>
      </c>
      <c r="E236" s="23" t="n">
        <v>2</v>
      </c>
      <c r="F236" s="15" t="n">
        <v>11</v>
      </c>
      <c r="G236" s="24" t="s">
        <v>50</v>
      </c>
      <c r="H236" s="23" t="n">
        <v>0</v>
      </c>
      <c r="I236" s="25" t="s">
        <v>22</v>
      </c>
      <c r="J236" s="26" t="n">
        <v>4000</v>
      </c>
      <c r="K236" s="15" t="n">
        <v>4000</v>
      </c>
      <c r="L236" s="15" t="n">
        <f aca="false">F236*K236</f>
        <v>44000</v>
      </c>
      <c r="M236" s="26" t="n">
        <v>0</v>
      </c>
      <c r="N236" s="27" t="n">
        <v>8000</v>
      </c>
    </row>
    <row r="237" customFormat="false" ht="14.25" hidden="false" customHeight="false" outlineLevel="0" collapsed="false">
      <c r="A237" s="12" t="n">
        <v>233</v>
      </c>
      <c r="B237" s="13" t="s">
        <v>503</v>
      </c>
      <c r="C237" s="13" t="s">
        <v>504</v>
      </c>
      <c r="D237" s="13" t="s">
        <v>460</v>
      </c>
      <c r="E237" s="14" t="n">
        <v>2</v>
      </c>
      <c r="F237" s="15" t="n">
        <v>1</v>
      </c>
      <c r="G237" s="16" t="s">
        <v>50</v>
      </c>
      <c r="H237" s="14" t="n">
        <v>0</v>
      </c>
      <c r="I237" s="17" t="s">
        <v>22</v>
      </c>
      <c r="J237" s="18" t="n">
        <v>34200</v>
      </c>
      <c r="K237" s="15" t="n">
        <v>12000</v>
      </c>
      <c r="L237" s="15" t="n">
        <f aca="false">F237*K237</f>
        <v>12000</v>
      </c>
      <c r="M237" s="18" t="n">
        <v>0</v>
      </c>
      <c r="N237" s="20" t="n">
        <v>68400</v>
      </c>
    </row>
    <row r="238" customFormat="false" ht="14.25" hidden="false" customHeight="false" outlineLevel="0" collapsed="false">
      <c r="A238" s="21" t="n">
        <v>234</v>
      </c>
      <c r="B238" s="22" t="s">
        <v>505</v>
      </c>
      <c r="C238" s="22" t="s">
        <v>506</v>
      </c>
      <c r="D238" s="22" t="s">
        <v>460</v>
      </c>
      <c r="E238" s="23" t="n">
        <v>2</v>
      </c>
      <c r="F238" s="15" t="n">
        <v>0</v>
      </c>
      <c r="G238" s="24" t="s">
        <v>50</v>
      </c>
      <c r="H238" s="23" t="n">
        <v>0</v>
      </c>
      <c r="I238" s="25" t="s">
        <v>22</v>
      </c>
      <c r="J238" s="26" t="n">
        <v>12000</v>
      </c>
      <c r="K238" s="19" t="n">
        <v>34200</v>
      </c>
      <c r="L238" s="15" t="n">
        <f aca="false">F238*K238</f>
        <v>0</v>
      </c>
      <c r="M238" s="26" t="n">
        <v>0</v>
      </c>
      <c r="N238" s="27" t="n">
        <v>24000</v>
      </c>
    </row>
    <row r="239" customFormat="false" ht="14.25" hidden="false" customHeight="false" outlineLevel="0" collapsed="false">
      <c r="A239" s="12" t="n">
        <v>235</v>
      </c>
      <c r="B239" s="13" t="s">
        <v>507</v>
      </c>
      <c r="C239" s="13" t="s">
        <v>508</v>
      </c>
      <c r="D239" s="13" t="s">
        <v>460</v>
      </c>
      <c r="E239" s="14" t="n">
        <v>7</v>
      </c>
      <c r="F239" s="15" t="n">
        <v>0</v>
      </c>
      <c r="G239" s="16" t="s">
        <v>50</v>
      </c>
      <c r="H239" s="14" t="n">
        <v>0</v>
      </c>
      <c r="I239" s="17" t="s">
        <v>22</v>
      </c>
      <c r="J239" s="18" t="n">
        <v>40000</v>
      </c>
      <c r="K239" s="15" t="n">
        <v>0</v>
      </c>
      <c r="L239" s="15" t="n">
        <f aca="false">F239*K239</f>
        <v>0</v>
      </c>
      <c r="M239" s="18" t="n">
        <v>0</v>
      </c>
      <c r="N239" s="20" t="n">
        <v>280000</v>
      </c>
    </row>
    <row r="240" customFormat="false" ht="14.25" hidden="false" customHeight="false" outlineLevel="0" collapsed="false">
      <c r="A240" s="21" t="n">
        <v>236</v>
      </c>
      <c r="B240" s="22" t="s">
        <v>509</v>
      </c>
      <c r="C240" s="22" t="s">
        <v>510</v>
      </c>
      <c r="D240" s="22" t="s">
        <v>460</v>
      </c>
      <c r="E240" s="23" t="n">
        <v>30</v>
      </c>
      <c r="F240" s="15" t="n">
        <v>30</v>
      </c>
      <c r="G240" s="24" t="s">
        <v>50</v>
      </c>
      <c r="H240" s="23" t="n">
        <v>0</v>
      </c>
      <c r="I240" s="25" t="s">
        <v>22</v>
      </c>
      <c r="J240" s="26" t="n">
        <v>34200.21</v>
      </c>
      <c r="K240" s="19" t="n">
        <v>30811</v>
      </c>
      <c r="L240" s="15" t="n">
        <f aca="false">F240*K240</f>
        <v>924330</v>
      </c>
      <c r="M240" s="26" t="n">
        <v>0</v>
      </c>
      <c r="N240" s="27" t="n">
        <v>1026006.3</v>
      </c>
    </row>
    <row r="241" customFormat="false" ht="14.25" hidden="false" customHeight="false" outlineLevel="0" collapsed="false">
      <c r="A241" s="12" t="n">
        <v>237</v>
      </c>
      <c r="B241" s="13" t="s">
        <v>511</v>
      </c>
      <c r="C241" s="13" t="s">
        <v>512</v>
      </c>
      <c r="D241" s="13" t="s">
        <v>460</v>
      </c>
      <c r="E241" s="14" t="n">
        <v>1</v>
      </c>
      <c r="F241" s="15" t="n">
        <v>758</v>
      </c>
      <c r="G241" s="16" t="s">
        <v>50</v>
      </c>
      <c r="H241" s="14" t="n">
        <v>0</v>
      </c>
      <c r="I241" s="17" t="s">
        <v>22</v>
      </c>
      <c r="J241" s="18" t="n">
        <v>55000</v>
      </c>
      <c r="K241" s="15" t="n">
        <v>79.155672823219</v>
      </c>
      <c r="L241" s="15" t="n">
        <f aca="false">F241*K241</f>
        <v>60000</v>
      </c>
      <c r="M241" s="18" t="n">
        <v>0</v>
      </c>
      <c r="N241" s="20" t="n">
        <v>55000</v>
      </c>
    </row>
    <row r="242" customFormat="false" ht="14.25" hidden="false" customHeight="false" outlineLevel="0" collapsed="false">
      <c r="A242" s="21" t="n">
        <v>238</v>
      </c>
      <c r="B242" s="22" t="s">
        <v>513</v>
      </c>
      <c r="C242" s="22" t="s">
        <v>514</v>
      </c>
      <c r="D242" s="22" t="s">
        <v>460</v>
      </c>
      <c r="E242" s="23" t="n">
        <v>10</v>
      </c>
      <c r="F242" s="15" t="n">
        <v>10</v>
      </c>
      <c r="G242" s="24" t="s">
        <v>50</v>
      </c>
      <c r="H242" s="23" t="n">
        <v>0</v>
      </c>
      <c r="I242" s="25" t="s">
        <v>22</v>
      </c>
      <c r="J242" s="26" t="n">
        <v>8000</v>
      </c>
      <c r="K242" s="19" t="n">
        <v>8000</v>
      </c>
      <c r="L242" s="15" t="n">
        <f aca="false">F242*K242</f>
        <v>80000</v>
      </c>
      <c r="M242" s="26" t="n">
        <v>0</v>
      </c>
      <c r="N242" s="27" t="n">
        <v>80000</v>
      </c>
    </row>
    <row r="243" customFormat="false" ht="14.25" hidden="false" customHeight="false" outlineLevel="0" collapsed="false">
      <c r="A243" s="28" t="n">
        <v>239</v>
      </c>
      <c r="B243" s="29" t="s">
        <v>515</v>
      </c>
      <c r="C243" s="29" t="s">
        <v>516</v>
      </c>
      <c r="D243" s="29" t="s">
        <v>460</v>
      </c>
      <c r="E243" s="30" t="n">
        <v>0</v>
      </c>
      <c r="F243" s="15" t="n">
        <v>2</v>
      </c>
      <c r="G243" s="31" t="s">
        <v>50</v>
      </c>
      <c r="H243" s="30" t="n">
        <v>0</v>
      </c>
      <c r="I243" s="32" t="s">
        <v>29</v>
      </c>
      <c r="J243" s="33" t="n">
        <v>0</v>
      </c>
      <c r="K243" s="15" t="n">
        <v>17500</v>
      </c>
      <c r="L243" s="15" t="n">
        <f aca="false">F243*K243</f>
        <v>35000</v>
      </c>
      <c r="M243" s="33" t="n">
        <v>0</v>
      </c>
      <c r="N243" s="34" t="n">
        <v>0</v>
      </c>
    </row>
    <row r="244" customFormat="false" ht="14.25" hidden="false" customHeight="false" outlineLevel="0" collapsed="false">
      <c r="A244" s="35"/>
      <c r="B244" s="36"/>
      <c r="C244" s="36"/>
      <c r="D244" s="36"/>
      <c r="E244" s="36"/>
      <c r="F244" s="37"/>
      <c r="G244" s="36"/>
      <c r="H244" s="36"/>
      <c r="I244" s="36"/>
      <c r="J244" s="38"/>
      <c r="K244" s="39"/>
      <c r="L244" s="40" t="n">
        <f aca="false">SUM(L5:L243)</f>
        <v>78871183.6111075</v>
      </c>
      <c r="M244" s="41" t="s">
        <v>517</v>
      </c>
      <c r="N244" s="42" t="n">
        <v>15157218529.2874</v>
      </c>
    </row>
  </sheetData>
  <autoFilter ref="A4:N244"/>
  <mergeCells count="2">
    <mergeCell ref="A1:M1"/>
    <mergeCell ref="A2:M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6" activeCellId="0" sqref="F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.25"/>
    <col collapsed="false" customWidth="true" hidden="false" outlineLevel="0" max="3" min="3" style="0" width="35.5"/>
    <col collapsed="false" customWidth="true" hidden="false" outlineLevel="0" max="4" min="4" style="0" width="10.92"/>
    <col collapsed="false" customWidth="true" hidden="false" outlineLevel="0" max="5" min="5" style="0" width="12.44"/>
    <col collapsed="false" customWidth="true" hidden="false" outlineLevel="0" max="6" min="6" style="0" width="35.9"/>
  </cols>
  <sheetData>
    <row r="1" customFormat="false" ht="15.8" hidden="false" customHeight="false" outlineLevel="0" collapsed="false">
      <c r="A1" s="43" t="s">
        <v>518</v>
      </c>
      <c r="B1" s="44" t="s">
        <v>519</v>
      </c>
      <c r="C1" s="44" t="s">
        <v>6</v>
      </c>
      <c r="D1" s="44" t="s">
        <v>520</v>
      </c>
      <c r="E1" s="45" t="s">
        <v>521</v>
      </c>
      <c r="F1" s="43" t="s">
        <v>522</v>
      </c>
    </row>
    <row r="2" customFormat="false" ht="15.8" hidden="false" customHeight="false" outlineLevel="0" collapsed="false">
      <c r="A2" s="46" t="n">
        <v>1</v>
      </c>
      <c r="B2" s="47" t="s">
        <v>18</v>
      </c>
      <c r="C2" s="47" t="s">
        <v>19</v>
      </c>
      <c r="D2" s="48" t="n">
        <v>5515</v>
      </c>
      <c r="E2" s="49" t="s">
        <v>523</v>
      </c>
      <c r="F2" s="50" t="s">
        <v>524</v>
      </c>
    </row>
    <row r="3" customFormat="false" ht="15.8" hidden="false" customHeight="false" outlineLevel="0" collapsed="false">
      <c r="A3" s="46" t="n">
        <v>2</v>
      </c>
      <c r="B3" s="47" t="s">
        <v>23</v>
      </c>
      <c r="C3" s="47" t="s">
        <v>24</v>
      </c>
      <c r="D3" s="48" t="n">
        <v>5532.3</v>
      </c>
      <c r="E3" s="49" t="s">
        <v>525</v>
      </c>
      <c r="F3" s="50" t="s">
        <v>524</v>
      </c>
    </row>
    <row r="4" customFormat="false" ht="15.8" hidden="false" customHeight="false" outlineLevel="0" collapsed="false">
      <c r="A4" s="46" t="n">
        <v>3</v>
      </c>
      <c r="B4" s="47" t="s">
        <v>30</v>
      </c>
      <c r="C4" s="47" t="s">
        <v>31</v>
      </c>
      <c r="D4" s="48" t="n">
        <v>4200</v>
      </c>
      <c r="E4" s="49" t="s">
        <v>526</v>
      </c>
      <c r="F4" s="50" t="s">
        <v>524</v>
      </c>
    </row>
    <row r="5" customFormat="false" ht="15.8" hidden="false" customHeight="false" outlineLevel="0" collapsed="false">
      <c r="A5" s="46" t="n">
        <v>4</v>
      </c>
      <c r="B5" s="47" t="s">
        <v>32</v>
      </c>
      <c r="C5" s="47" t="s">
        <v>33</v>
      </c>
      <c r="D5" s="48" t="n">
        <v>5200</v>
      </c>
      <c r="E5" s="49" t="s">
        <v>527</v>
      </c>
      <c r="F5" s="50" t="s">
        <v>524</v>
      </c>
    </row>
    <row r="6" customFormat="false" ht="15.8" hidden="false" customHeight="false" outlineLevel="0" collapsed="false">
      <c r="A6" s="46" t="n">
        <v>5</v>
      </c>
      <c r="B6" s="47" t="s">
        <v>34</v>
      </c>
      <c r="C6" s="47" t="s">
        <v>35</v>
      </c>
      <c r="D6" s="48" t="n">
        <v>239200</v>
      </c>
      <c r="E6" s="49" t="s">
        <v>528</v>
      </c>
      <c r="F6" s="50" t="s">
        <v>524</v>
      </c>
    </row>
    <row r="7" customFormat="false" ht="15.8" hidden="false" customHeight="false" outlineLevel="0" collapsed="false">
      <c r="A7" s="46" t="n">
        <v>6</v>
      </c>
      <c r="B7" s="47" t="s">
        <v>36</v>
      </c>
      <c r="C7" s="47" t="s">
        <v>37</v>
      </c>
      <c r="D7" s="48" t="n">
        <v>89375</v>
      </c>
      <c r="E7" s="49" t="s">
        <v>529</v>
      </c>
      <c r="F7" s="50" t="s">
        <v>524</v>
      </c>
    </row>
    <row r="8" customFormat="false" ht="15.8" hidden="false" customHeight="false" outlineLevel="0" collapsed="false">
      <c r="A8" s="46" t="n">
        <v>7</v>
      </c>
      <c r="B8" s="47" t="s">
        <v>64</v>
      </c>
      <c r="C8" s="47" t="s">
        <v>530</v>
      </c>
      <c r="D8" s="48" t="n">
        <v>100</v>
      </c>
      <c r="E8" s="51" t="n">
        <v>300</v>
      </c>
      <c r="F8" s="50" t="s">
        <v>524</v>
      </c>
    </row>
    <row r="9" customFormat="false" ht="15.8" hidden="false" customHeight="false" outlineLevel="0" collapsed="false">
      <c r="A9" s="52" t="n">
        <v>8</v>
      </c>
      <c r="B9" s="53" t="s">
        <v>66</v>
      </c>
      <c r="C9" s="53" t="s">
        <v>67</v>
      </c>
      <c r="D9" s="54" t="n">
        <v>3</v>
      </c>
      <c r="E9" s="54" t="n">
        <v>0</v>
      </c>
      <c r="F9" s="55" t="s">
        <v>524</v>
      </c>
    </row>
    <row r="10" customFormat="false" ht="15.8" hidden="false" customHeight="false" outlineLevel="0" collapsed="false">
      <c r="A10" s="52" t="n">
        <v>9</v>
      </c>
      <c r="B10" s="53" t="s">
        <v>68</v>
      </c>
      <c r="C10" s="53" t="s">
        <v>69</v>
      </c>
      <c r="D10" s="54" t="n">
        <v>5</v>
      </c>
      <c r="E10" s="54" t="n">
        <v>0</v>
      </c>
      <c r="F10" s="55" t="s">
        <v>524</v>
      </c>
    </row>
    <row r="11" customFormat="false" ht="15.8" hidden="false" customHeight="false" outlineLevel="0" collapsed="false">
      <c r="A11" s="46" t="n">
        <v>10</v>
      </c>
      <c r="B11" s="47" t="s">
        <v>72</v>
      </c>
      <c r="C11" s="47" t="s">
        <v>73</v>
      </c>
      <c r="D11" s="48" t="n">
        <v>47</v>
      </c>
      <c r="E11" s="51" t="n">
        <v>10203</v>
      </c>
      <c r="F11" s="50" t="s">
        <v>524</v>
      </c>
    </row>
    <row r="12" customFormat="false" ht="15.8" hidden="false" customHeight="false" outlineLevel="0" collapsed="false">
      <c r="A12" s="46" t="n">
        <v>11</v>
      </c>
      <c r="B12" s="47" t="s">
        <v>74</v>
      </c>
      <c r="C12" s="47" t="s">
        <v>75</v>
      </c>
      <c r="D12" s="48" t="n">
        <v>1</v>
      </c>
      <c r="E12" s="51" t="n">
        <v>45000</v>
      </c>
      <c r="F12" s="50" t="s">
        <v>524</v>
      </c>
    </row>
    <row r="13" customFormat="false" ht="15.8" hidden="false" customHeight="false" outlineLevel="0" collapsed="false">
      <c r="A13" s="46" t="n">
        <v>12</v>
      </c>
      <c r="B13" s="47" t="s">
        <v>79</v>
      </c>
      <c r="C13" s="47" t="s">
        <v>80</v>
      </c>
      <c r="D13" s="48" t="n">
        <v>6</v>
      </c>
      <c r="E13" s="51" t="n">
        <v>6550</v>
      </c>
      <c r="F13" s="50" t="s">
        <v>524</v>
      </c>
    </row>
    <row r="14" customFormat="false" ht="15.8" hidden="false" customHeight="false" outlineLevel="0" collapsed="false">
      <c r="A14" s="46" t="n">
        <v>13</v>
      </c>
      <c r="B14" s="47" t="s">
        <v>82</v>
      </c>
      <c r="C14" s="47" t="s">
        <v>83</v>
      </c>
      <c r="D14" s="48" t="n">
        <v>88</v>
      </c>
      <c r="E14" s="51" t="n">
        <v>5525</v>
      </c>
      <c r="F14" s="50" t="s">
        <v>524</v>
      </c>
    </row>
    <row r="15" customFormat="false" ht="15.8" hidden="false" customHeight="false" outlineLevel="0" collapsed="false">
      <c r="A15" s="46" t="n">
        <v>14</v>
      </c>
      <c r="B15" s="47" t="s">
        <v>86</v>
      </c>
      <c r="C15" s="47" t="s">
        <v>87</v>
      </c>
      <c r="D15" s="48" t="n">
        <v>36</v>
      </c>
      <c r="E15" s="51" t="n">
        <v>6525</v>
      </c>
      <c r="F15" s="50" t="s">
        <v>524</v>
      </c>
    </row>
    <row r="16" customFormat="false" ht="15.8" hidden="false" customHeight="false" outlineLevel="0" collapsed="false">
      <c r="A16" s="46" t="n">
        <v>15</v>
      </c>
      <c r="B16" s="47" t="s">
        <v>88</v>
      </c>
      <c r="C16" s="47" t="s">
        <v>89</v>
      </c>
      <c r="D16" s="48" t="n">
        <v>25</v>
      </c>
      <c r="E16" s="51" t="n">
        <v>5525</v>
      </c>
      <c r="F16" s="50" t="s">
        <v>524</v>
      </c>
    </row>
    <row r="17" customFormat="false" ht="15.8" hidden="false" customHeight="false" outlineLevel="0" collapsed="false">
      <c r="A17" s="46" t="n">
        <v>16</v>
      </c>
      <c r="B17" s="47" t="s">
        <v>90</v>
      </c>
      <c r="C17" s="47" t="s">
        <v>91</v>
      </c>
      <c r="D17" s="48" t="n">
        <v>25</v>
      </c>
      <c r="E17" s="51" t="n">
        <v>6525</v>
      </c>
      <c r="F17" s="50" t="s">
        <v>524</v>
      </c>
    </row>
    <row r="18" customFormat="false" ht="15.8" hidden="false" customHeight="false" outlineLevel="0" collapsed="false">
      <c r="A18" s="46" t="n">
        <v>17</v>
      </c>
      <c r="B18" s="47" t="s">
        <v>92</v>
      </c>
      <c r="C18" s="47" t="s">
        <v>93</v>
      </c>
      <c r="D18" s="48" t="n">
        <v>69</v>
      </c>
      <c r="E18" s="51" t="n">
        <v>6825</v>
      </c>
      <c r="F18" s="50" t="s">
        <v>524</v>
      </c>
    </row>
    <row r="19" customFormat="false" ht="15.8" hidden="false" customHeight="false" outlineLevel="0" collapsed="false">
      <c r="A19" s="46" t="n">
        <v>18</v>
      </c>
      <c r="B19" s="47" t="s">
        <v>94</v>
      </c>
      <c r="C19" s="47" t="s">
        <v>95</v>
      </c>
      <c r="D19" s="48" t="n">
        <v>8</v>
      </c>
      <c r="E19" s="51" t="n">
        <v>6825</v>
      </c>
      <c r="F19" s="50" t="s">
        <v>524</v>
      </c>
    </row>
    <row r="20" customFormat="false" ht="15.8" hidden="false" customHeight="false" outlineLevel="0" collapsed="false">
      <c r="A20" s="46" t="n">
        <v>19</v>
      </c>
      <c r="B20" s="47" t="s">
        <v>96</v>
      </c>
      <c r="C20" s="47" t="s">
        <v>97</v>
      </c>
      <c r="D20" s="48" t="n">
        <v>4</v>
      </c>
      <c r="E20" s="51" t="n">
        <v>6825</v>
      </c>
      <c r="F20" s="50" t="s">
        <v>524</v>
      </c>
    </row>
    <row r="21" customFormat="false" ht="15.8" hidden="false" customHeight="false" outlineLevel="0" collapsed="false">
      <c r="A21" s="46" t="n">
        <v>20</v>
      </c>
      <c r="B21" s="47" t="s">
        <v>106</v>
      </c>
      <c r="C21" s="47" t="s">
        <v>107</v>
      </c>
      <c r="D21" s="48" t="n">
        <v>5</v>
      </c>
      <c r="E21" s="51" t="n">
        <v>57000</v>
      </c>
      <c r="F21" s="50" t="s">
        <v>524</v>
      </c>
    </row>
    <row r="22" customFormat="false" ht="15.8" hidden="false" customHeight="false" outlineLevel="0" collapsed="false">
      <c r="A22" s="46" t="n">
        <v>21</v>
      </c>
      <c r="B22" s="47" t="s">
        <v>108</v>
      </c>
      <c r="C22" s="47" t="s">
        <v>109</v>
      </c>
      <c r="D22" s="48" t="n">
        <v>1</v>
      </c>
      <c r="E22" s="51" t="n">
        <v>27000</v>
      </c>
      <c r="F22" s="50" t="s">
        <v>524</v>
      </c>
    </row>
    <row r="23" customFormat="false" ht="15.8" hidden="false" customHeight="false" outlineLevel="0" collapsed="false">
      <c r="A23" s="46" t="n">
        <v>22</v>
      </c>
      <c r="B23" s="47" t="s">
        <v>112</v>
      </c>
      <c r="C23" s="47" t="s">
        <v>113</v>
      </c>
      <c r="D23" s="48" t="n">
        <v>20</v>
      </c>
      <c r="E23" s="51" t="n">
        <v>57720</v>
      </c>
      <c r="F23" s="50" t="s">
        <v>524</v>
      </c>
    </row>
    <row r="24" customFormat="false" ht="15.8" hidden="false" customHeight="false" outlineLevel="0" collapsed="false">
      <c r="A24" s="46" t="n">
        <v>23</v>
      </c>
      <c r="B24" s="47" t="s">
        <v>114</v>
      </c>
      <c r="C24" s="47" t="s">
        <v>115</v>
      </c>
      <c r="D24" s="48" t="n">
        <v>3</v>
      </c>
      <c r="E24" s="51" t="n">
        <v>15000</v>
      </c>
      <c r="F24" s="50" t="s">
        <v>524</v>
      </c>
    </row>
    <row r="25" customFormat="false" ht="15.8" hidden="false" customHeight="false" outlineLevel="0" collapsed="false">
      <c r="A25" s="46" t="n">
        <v>24</v>
      </c>
      <c r="B25" s="47" t="s">
        <v>117</v>
      </c>
      <c r="C25" s="47" t="s">
        <v>118</v>
      </c>
      <c r="D25" s="48" t="n">
        <v>19</v>
      </c>
      <c r="E25" s="49" t="s">
        <v>531</v>
      </c>
      <c r="F25" s="50" t="s">
        <v>524</v>
      </c>
    </row>
    <row r="26" customFormat="false" ht="15.8" hidden="false" customHeight="false" outlineLevel="0" collapsed="false">
      <c r="A26" s="56" t="n">
        <v>25</v>
      </c>
      <c r="B26" s="57" t="s">
        <v>125</v>
      </c>
      <c r="C26" s="57" t="s">
        <v>126</v>
      </c>
      <c r="D26" s="58" t="n">
        <v>580</v>
      </c>
      <c r="E26" s="49" t="s">
        <v>532</v>
      </c>
      <c r="F26" s="59" t="s">
        <v>524</v>
      </c>
    </row>
    <row r="27" customFormat="false" ht="15.8" hidden="false" customHeight="false" outlineLevel="0" collapsed="false">
      <c r="A27" s="46" t="n">
        <v>26</v>
      </c>
      <c r="B27" s="47" t="s">
        <v>128</v>
      </c>
      <c r="C27" s="47" t="s">
        <v>129</v>
      </c>
      <c r="D27" s="48" t="n">
        <v>1</v>
      </c>
      <c r="E27" s="51" t="n">
        <v>11100</v>
      </c>
      <c r="F27" s="50" t="s">
        <v>524</v>
      </c>
    </row>
    <row r="28" customFormat="false" ht="15.8" hidden="false" customHeight="false" outlineLevel="0" collapsed="false">
      <c r="A28" s="46" t="n">
        <v>27</v>
      </c>
      <c r="B28" s="47" t="s">
        <v>131</v>
      </c>
      <c r="C28" s="47" t="s">
        <v>132</v>
      </c>
      <c r="D28" s="48" t="n">
        <v>3400</v>
      </c>
      <c r="E28" s="49" t="s">
        <v>533</v>
      </c>
      <c r="F28" s="50" t="s">
        <v>524</v>
      </c>
    </row>
    <row r="29" customFormat="false" ht="15.8" hidden="false" customHeight="false" outlineLevel="0" collapsed="false">
      <c r="A29" s="46" t="n">
        <v>28</v>
      </c>
      <c r="B29" s="47" t="s">
        <v>133</v>
      </c>
      <c r="C29" s="47" t="s">
        <v>134</v>
      </c>
      <c r="D29" s="48" t="n">
        <v>5000</v>
      </c>
      <c r="E29" s="51" t="n">
        <v>70</v>
      </c>
      <c r="F29" s="50" t="s">
        <v>524</v>
      </c>
    </row>
    <row r="30" customFormat="false" ht="15.8" hidden="false" customHeight="false" outlineLevel="0" collapsed="false">
      <c r="A30" s="46" t="n">
        <v>29</v>
      </c>
      <c r="B30" s="47" t="s">
        <v>139</v>
      </c>
      <c r="C30" s="47" t="s">
        <v>140</v>
      </c>
      <c r="D30" s="48" t="n">
        <v>97</v>
      </c>
      <c r="E30" s="51" t="n">
        <v>300</v>
      </c>
      <c r="F30" s="50" t="s">
        <v>524</v>
      </c>
    </row>
    <row r="31" customFormat="false" ht="15.8" hidden="false" customHeight="false" outlineLevel="0" collapsed="false">
      <c r="A31" s="46" t="n">
        <v>30</v>
      </c>
      <c r="B31" s="47" t="s">
        <v>145</v>
      </c>
      <c r="C31" s="47" t="s">
        <v>146</v>
      </c>
      <c r="D31" s="48" t="n">
        <v>21</v>
      </c>
      <c r="E31" s="49" t="n">
        <v>2500</v>
      </c>
      <c r="F31" s="50" t="s">
        <v>524</v>
      </c>
    </row>
    <row r="32" customFormat="false" ht="15.8" hidden="false" customHeight="false" outlineLevel="0" collapsed="false">
      <c r="A32" s="46" t="n">
        <v>31</v>
      </c>
      <c r="B32" s="47" t="s">
        <v>149</v>
      </c>
      <c r="C32" s="47" t="s">
        <v>150</v>
      </c>
      <c r="D32" s="48" t="n">
        <v>3</v>
      </c>
      <c r="E32" s="51" t="n">
        <v>105000</v>
      </c>
      <c r="F32" s="50" t="s">
        <v>524</v>
      </c>
    </row>
    <row r="33" customFormat="false" ht="15.8" hidden="false" customHeight="false" outlineLevel="0" collapsed="false">
      <c r="A33" s="46" t="n">
        <v>32</v>
      </c>
      <c r="B33" s="47" t="s">
        <v>153</v>
      </c>
      <c r="C33" s="47" t="s">
        <v>154</v>
      </c>
      <c r="D33" s="48" t="n">
        <v>1</v>
      </c>
      <c r="E33" s="51" t="n">
        <v>215000</v>
      </c>
      <c r="F33" s="50" t="s">
        <v>524</v>
      </c>
    </row>
    <row r="34" customFormat="false" ht="15.8" hidden="false" customHeight="false" outlineLevel="0" collapsed="false">
      <c r="A34" s="46" t="n">
        <v>33</v>
      </c>
      <c r="B34" s="47" t="s">
        <v>155</v>
      </c>
      <c r="C34" s="47" t="s">
        <v>156</v>
      </c>
      <c r="D34" s="48" t="n">
        <v>2</v>
      </c>
      <c r="E34" s="51" t="n">
        <v>35000</v>
      </c>
      <c r="F34" s="50" t="s">
        <v>524</v>
      </c>
    </row>
    <row r="35" customFormat="false" ht="15.8" hidden="false" customHeight="false" outlineLevel="0" collapsed="false">
      <c r="A35" s="46" t="n">
        <v>34</v>
      </c>
      <c r="B35" s="47" t="s">
        <v>161</v>
      </c>
      <c r="C35" s="47" t="s">
        <v>162</v>
      </c>
      <c r="D35" s="48" t="n">
        <v>9</v>
      </c>
      <c r="E35" s="51" t="n">
        <v>2500</v>
      </c>
      <c r="F35" s="50" t="s">
        <v>524</v>
      </c>
    </row>
    <row r="36" customFormat="false" ht="15.8" hidden="false" customHeight="false" outlineLevel="0" collapsed="false">
      <c r="A36" s="46" t="n">
        <v>35</v>
      </c>
      <c r="B36" s="47" t="s">
        <v>163</v>
      </c>
      <c r="C36" s="47" t="s">
        <v>164</v>
      </c>
      <c r="D36" s="48" t="n">
        <v>21</v>
      </c>
      <c r="E36" s="49" t="s">
        <v>534</v>
      </c>
      <c r="F36" s="50" t="s">
        <v>524</v>
      </c>
    </row>
    <row r="37" customFormat="false" ht="15.8" hidden="false" customHeight="false" outlineLevel="0" collapsed="false">
      <c r="A37" s="46" t="n">
        <v>36</v>
      </c>
      <c r="B37" s="47" t="s">
        <v>165</v>
      </c>
      <c r="C37" s="47" t="s">
        <v>166</v>
      </c>
      <c r="D37" s="48" t="n">
        <v>13</v>
      </c>
      <c r="E37" s="51" t="n">
        <v>36480</v>
      </c>
      <c r="F37" s="50" t="s">
        <v>524</v>
      </c>
    </row>
    <row r="38" customFormat="false" ht="15.8" hidden="false" customHeight="false" outlineLevel="0" collapsed="false">
      <c r="A38" s="46" t="n">
        <v>37</v>
      </c>
      <c r="B38" s="47" t="s">
        <v>169</v>
      </c>
      <c r="C38" s="47" t="s">
        <v>170</v>
      </c>
      <c r="D38" s="48" t="n">
        <v>10</v>
      </c>
      <c r="E38" s="51" t="n">
        <v>11500</v>
      </c>
      <c r="F38" s="50" t="s">
        <v>524</v>
      </c>
    </row>
    <row r="39" customFormat="false" ht="15.8" hidden="false" customHeight="false" outlineLevel="0" collapsed="false">
      <c r="A39" s="46" t="n">
        <v>38</v>
      </c>
      <c r="B39" s="47" t="s">
        <v>185</v>
      </c>
      <c r="C39" s="47" t="s">
        <v>186</v>
      </c>
      <c r="D39" s="48" t="n">
        <v>3</v>
      </c>
      <c r="E39" s="51" t="n">
        <v>69680</v>
      </c>
      <c r="F39" s="50" t="s">
        <v>524</v>
      </c>
    </row>
    <row r="40" customFormat="false" ht="15.8" hidden="false" customHeight="false" outlineLevel="0" collapsed="false">
      <c r="A40" s="46" t="n">
        <v>39</v>
      </c>
      <c r="B40" s="47" t="s">
        <v>187</v>
      </c>
      <c r="C40" s="47" t="s">
        <v>188</v>
      </c>
      <c r="D40" s="48" t="n">
        <v>12800</v>
      </c>
      <c r="E40" s="49" t="s">
        <v>535</v>
      </c>
      <c r="F40" s="50" t="s">
        <v>524</v>
      </c>
    </row>
    <row r="41" customFormat="false" ht="15.8" hidden="false" customHeight="false" outlineLevel="0" collapsed="false">
      <c r="A41" s="46" t="n">
        <v>40</v>
      </c>
      <c r="B41" s="47" t="s">
        <v>207</v>
      </c>
      <c r="C41" s="47" t="s">
        <v>208</v>
      </c>
      <c r="D41" s="48" t="n">
        <v>663</v>
      </c>
      <c r="E41" s="51" t="n">
        <v>670</v>
      </c>
      <c r="F41" s="50" t="s">
        <v>524</v>
      </c>
    </row>
    <row r="42" customFormat="false" ht="15.8" hidden="false" customHeight="false" outlineLevel="0" collapsed="false">
      <c r="A42" s="46" t="n">
        <v>41</v>
      </c>
      <c r="B42" s="47" t="s">
        <v>209</v>
      </c>
      <c r="C42" s="47" t="s">
        <v>210</v>
      </c>
      <c r="D42" s="48" t="n">
        <v>6</v>
      </c>
      <c r="E42" s="51" t="n">
        <v>16697.5</v>
      </c>
      <c r="F42" s="50" t="s">
        <v>524</v>
      </c>
    </row>
    <row r="43" customFormat="false" ht="15.8" hidden="false" customHeight="false" outlineLevel="0" collapsed="false">
      <c r="A43" s="46" t="n">
        <v>42</v>
      </c>
      <c r="B43" s="47" t="s">
        <v>211</v>
      </c>
      <c r="C43" s="47" t="s">
        <v>212</v>
      </c>
      <c r="D43" s="48" t="n">
        <v>118</v>
      </c>
      <c r="E43" s="51" t="n">
        <v>1409</v>
      </c>
      <c r="F43" s="50" t="s">
        <v>524</v>
      </c>
    </row>
    <row r="44" customFormat="false" ht="15.8" hidden="false" customHeight="false" outlineLevel="0" collapsed="false">
      <c r="A44" s="46" t="n">
        <v>43</v>
      </c>
      <c r="B44" s="47" t="s">
        <v>213</v>
      </c>
      <c r="C44" s="47" t="s">
        <v>214</v>
      </c>
      <c r="D44" s="48" t="n">
        <v>2</v>
      </c>
      <c r="E44" s="51" t="n">
        <v>41300</v>
      </c>
      <c r="F44" s="50" t="s">
        <v>524</v>
      </c>
    </row>
    <row r="45" customFormat="false" ht="15.8" hidden="false" customHeight="false" outlineLevel="0" collapsed="false">
      <c r="A45" s="46" t="n">
        <v>44</v>
      </c>
      <c r="B45" s="47" t="s">
        <v>358</v>
      </c>
      <c r="C45" s="47" t="s">
        <v>536</v>
      </c>
      <c r="D45" s="48" t="n">
        <v>1977.22</v>
      </c>
      <c r="E45" s="49" t="s">
        <v>537</v>
      </c>
      <c r="F45" s="50" t="s">
        <v>524</v>
      </c>
    </row>
    <row r="46" customFormat="false" ht="15.8" hidden="false" customHeight="false" outlineLevel="0" collapsed="false">
      <c r="A46" s="46" t="n">
        <v>45</v>
      </c>
      <c r="B46" s="47" t="s">
        <v>412</v>
      </c>
      <c r="C46" s="47" t="s">
        <v>413</v>
      </c>
      <c r="D46" s="48" t="n">
        <v>8057</v>
      </c>
      <c r="E46" s="51" t="n">
        <v>10.86</v>
      </c>
      <c r="F46" s="50" t="s">
        <v>524</v>
      </c>
    </row>
    <row r="47" customFormat="false" ht="15.8" hidden="false" customHeight="false" outlineLevel="0" collapsed="false">
      <c r="A47" s="46" t="n">
        <v>46</v>
      </c>
      <c r="B47" s="47" t="s">
        <v>538</v>
      </c>
      <c r="C47" s="47" t="s">
        <v>504</v>
      </c>
      <c r="D47" s="48" t="n">
        <v>1</v>
      </c>
      <c r="E47" s="51" t="n">
        <v>34200</v>
      </c>
      <c r="F47" s="50" t="s">
        <v>524</v>
      </c>
    </row>
    <row r="48" customFormat="false" ht="15.8" hidden="false" customHeight="false" outlineLevel="0" collapsed="false">
      <c r="A48" s="46" t="n">
        <v>47</v>
      </c>
      <c r="B48" s="47" t="s">
        <v>539</v>
      </c>
      <c r="C48" s="47" t="s">
        <v>510</v>
      </c>
      <c r="D48" s="48" t="n">
        <v>30</v>
      </c>
      <c r="E48" s="51" t="n">
        <v>30811</v>
      </c>
      <c r="F48" s="50" t="s">
        <v>524</v>
      </c>
    </row>
    <row r="49" customFormat="false" ht="15.8" hidden="false" customHeight="false" outlineLevel="0" collapsed="false">
      <c r="A49" s="46" t="n">
        <v>48</v>
      </c>
      <c r="B49" s="47" t="s">
        <v>540</v>
      </c>
      <c r="C49" s="47" t="s">
        <v>514</v>
      </c>
      <c r="D49" s="48" t="n">
        <v>10</v>
      </c>
      <c r="E49" s="51" t="n">
        <v>8000</v>
      </c>
      <c r="F49" s="50" t="s">
        <v>524</v>
      </c>
    </row>
    <row r="50" customFormat="false" ht="15.8" hidden="false" customHeight="false" outlineLevel="0" collapsed="false">
      <c r="A50" s="46" t="n">
        <v>49</v>
      </c>
      <c r="B50" s="47" t="s">
        <v>458</v>
      </c>
      <c r="C50" s="47" t="s">
        <v>459</v>
      </c>
      <c r="D50" s="48" t="n">
        <v>2</v>
      </c>
      <c r="E50" s="51" t="n">
        <v>100000</v>
      </c>
      <c r="F50" s="50" t="s">
        <v>524</v>
      </c>
    </row>
    <row r="51" customFormat="false" ht="15.8" hidden="false" customHeight="false" outlineLevel="0" collapsed="false">
      <c r="A51" s="46" t="n">
        <v>50</v>
      </c>
      <c r="B51" s="47" t="s">
        <v>467</v>
      </c>
      <c r="C51" s="47" t="s">
        <v>468</v>
      </c>
      <c r="D51" s="48" t="n">
        <v>5</v>
      </c>
      <c r="E51" s="51" t="n">
        <v>59250</v>
      </c>
      <c r="F51" s="50" t="s">
        <v>524</v>
      </c>
    </row>
    <row r="52" customFormat="false" ht="15.8" hidden="false" customHeight="false" outlineLevel="0" collapsed="false">
      <c r="A52" s="46" t="n">
        <v>51</v>
      </c>
      <c r="B52" s="47" t="s">
        <v>481</v>
      </c>
      <c r="C52" s="47" t="s">
        <v>482</v>
      </c>
      <c r="D52" s="48" t="n">
        <v>3</v>
      </c>
      <c r="E52" s="51" t="n">
        <v>10000</v>
      </c>
      <c r="F52" s="50" t="s">
        <v>524</v>
      </c>
    </row>
    <row r="53" customFormat="false" ht="15.8" hidden="false" customHeight="false" outlineLevel="0" collapsed="false">
      <c r="A53" s="52" t="n">
        <v>52</v>
      </c>
      <c r="B53" s="53" t="s">
        <v>485</v>
      </c>
      <c r="C53" s="53" t="s">
        <v>486</v>
      </c>
      <c r="D53" s="54" t="n">
        <v>50</v>
      </c>
      <c r="E53" s="54" t="n">
        <v>0</v>
      </c>
      <c r="F53" s="55" t="s">
        <v>524</v>
      </c>
    </row>
    <row r="54" customFormat="false" ht="15.8" hidden="false" customHeight="false" outlineLevel="0" collapsed="false">
      <c r="A54" s="46" t="n">
        <v>53</v>
      </c>
      <c r="B54" s="47" t="s">
        <v>489</v>
      </c>
      <c r="C54" s="47" t="s">
        <v>490</v>
      </c>
      <c r="D54" s="48" t="n">
        <v>1</v>
      </c>
      <c r="E54" s="51" t="n">
        <v>37200</v>
      </c>
      <c r="F54" s="50" t="s">
        <v>524</v>
      </c>
    </row>
    <row r="55" customFormat="false" ht="15.8" hidden="false" customHeight="false" outlineLevel="0" collapsed="false">
      <c r="A55" s="46" t="n">
        <v>54</v>
      </c>
      <c r="B55" s="47" t="s">
        <v>491</v>
      </c>
      <c r="C55" s="47" t="s">
        <v>492</v>
      </c>
      <c r="D55" s="48" t="n">
        <v>12</v>
      </c>
      <c r="E55" s="51" t="n">
        <v>5200</v>
      </c>
      <c r="F55" s="50" t="s">
        <v>524</v>
      </c>
    </row>
    <row r="56" customFormat="false" ht="15.8" hidden="false" customHeight="false" outlineLevel="0" collapsed="false">
      <c r="A56" s="46" t="n">
        <v>55</v>
      </c>
      <c r="B56" s="47" t="s">
        <v>495</v>
      </c>
      <c r="C56" s="47" t="s">
        <v>496</v>
      </c>
      <c r="D56" s="48" t="n">
        <v>1</v>
      </c>
      <c r="E56" s="51" t="n">
        <v>32000</v>
      </c>
      <c r="F56" s="50" t="s">
        <v>524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6"/>
  <sheetViews>
    <sheetView showFormulas="false" showGridLines="true" showRowColHeaders="true" showZeros="true" rightToLeft="false" tabSelected="false" showOutlineSymbols="true" defaultGridColor="true" view="normal" topLeftCell="A211" colorId="64" zoomScale="90" zoomScaleNormal="90" zoomScalePageLayoutView="100" workbookViewId="0">
      <selection pane="topLeft" activeCell="F233" activeCellId="0" sqref="F233"/>
    </sheetView>
  </sheetViews>
  <sheetFormatPr defaultColWidth="8.43359375" defaultRowHeight="12.75" customHeight="false" zeroHeight="false" outlineLevelRow="0" outlineLevelCol="0"/>
  <cols>
    <col collapsed="false" customWidth="true" hidden="false" outlineLevel="0" max="1" min="1" style="1" width="22.26"/>
    <col collapsed="false" customWidth="true" hidden="false" outlineLevel="0" max="2" min="2" style="1" width="48.25"/>
    <col collapsed="false" customWidth="true" hidden="false" outlineLevel="0" max="4" min="3" style="1" width="26.97"/>
    <col collapsed="false" customWidth="true" hidden="false" outlineLevel="0" max="5" min="5" style="1" width="9.26"/>
    <col collapsed="false" customWidth="true" hidden="false" outlineLevel="0" max="6" min="6" style="60" width="15.26"/>
  </cols>
  <sheetData>
    <row r="1" customFormat="false" ht="12.75" hidden="false" customHeight="false" outlineLevel="0" collapsed="false">
      <c r="A1" s="61" t="s">
        <v>519</v>
      </c>
      <c r="B1" s="61" t="s">
        <v>6</v>
      </c>
      <c r="C1" s="61" t="s">
        <v>541</v>
      </c>
      <c r="D1" s="61" t="s">
        <v>542</v>
      </c>
      <c r="E1" s="61" t="s">
        <v>520</v>
      </c>
      <c r="F1" s="62" t="s">
        <v>543</v>
      </c>
      <c r="G1" s="63" t="s">
        <v>522</v>
      </c>
    </row>
    <row r="2" customFormat="false" ht="12.75" hidden="false" customHeight="false" outlineLevel="0" collapsed="false">
      <c r="A2" s="1" t="s">
        <v>18</v>
      </c>
      <c r="B2" s="1" t="s">
        <v>19</v>
      </c>
      <c r="C2" s="1" t="n">
        <v>5000</v>
      </c>
      <c r="D2" s="1" t="n">
        <v>135</v>
      </c>
      <c r="E2" s="1" t="n">
        <v>5515</v>
      </c>
      <c r="F2" s="2" t="n">
        <v>0</v>
      </c>
      <c r="G2" s="0" t="s">
        <v>544</v>
      </c>
    </row>
    <row r="3" customFormat="false" ht="12.75" hidden="false" customHeight="false" outlineLevel="0" collapsed="false">
      <c r="A3" s="1" t="s">
        <v>23</v>
      </c>
      <c r="B3" s="1" t="s">
        <v>24</v>
      </c>
      <c r="C3" s="1" t="n">
        <v>4800</v>
      </c>
      <c r="D3" s="1" t="n">
        <v>100</v>
      </c>
      <c r="E3" s="1" t="n">
        <v>5532.3</v>
      </c>
      <c r="F3" s="2" t="n">
        <v>0</v>
      </c>
      <c r="G3" s="0" t="s">
        <v>544</v>
      </c>
    </row>
    <row r="4" customFormat="false" ht="12.75" hidden="false" customHeight="false" outlineLevel="0" collapsed="false">
      <c r="A4" s="1" t="s">
        <v>25</v>
      </c>
      <c r="B4" s="1" t="s">
        <v>26</v>
      </c>
      <c r="C4" s="1" t="n">
        <v>3146</v>
      </c>
      <c r="D4" s="1" t="n">
        <v>190</v>
      </c>
      <c r="E4" s="1" t="n">
        <v>0</v>
      </c>
      <c r="F4" s="60" t="n">
        <v>0</v>
      </c>
    </row>
    <row r="5" customFormat="false" ht="12.75" hidden="false" customHeight="false" outlineLevel="0" collapsed="false">
      <c r="A5" s="1" t="s">
        <v>27</v>
      </c>
      <c r="B5" s="1" t="s">
        <v>28</v>
      </c>
      <c r="C5" s="1" t="n">
        <v>0</v>
      </c>
      <c r="D5" s="1" t="n">
        <v>70</v>
      </c>
      <c r="E5" s="1" t="n">
        <v>0</v>
      </c>
      <c r="F5" s="60" t="n">
        <v>0</v>
      </c>
    </row>
    <row r="6" customFormat="false" ht="12.75" hidden="false" customHeight="false" outlineLevel="0" collapsed="false">
      <c r="A6" s="1" t="s">
        <v>30</v>
      </c>
      <c r="B6" s="1" t="s">
        <v>31</v>
      </c>
      <c r="C6" s="1" t="n">
        <v>4900</v>
      </c>
      <c r="D6" s="1" t="n">
        <v>19.4</v>
      </c>
      <c r="E6" s="1" t="n">
        <v>4200</v>
      </c>
      <c r="F6" s="2" t="n">
        <v>0</v>
      </c>
      <c r="G6" s="0" t="s">
        <v>544</v>
      </c>
    </row>
    <row r="7" customFormat="false" ht="12.75" hidden="false" customHeight="false" outlineLevel="0" collapsed="false">
      <c r="A7" s="1" t="s">
        <v>32</v>
      </c>
      <c r="B7" s="1" t="s">
        <v>33</v>
      </c>
      <c r="C7" s="1" t="n">
        <v>5000</v>
      </c>
      <c r="D7" s="1" t="n">
        <v>45.4</v>
      </c>
      <c r="E7" s="1" t="n">
        <v>5200</v>
      </c>
      <c r="F7" s="2" t="n">
        <v>0</v>
      </c>
      <c r="G7" s="0" t="s">
        <v>544</v>
      </c>
    </row>
    <row r="8" customFormat="false" ht="12.75" hidden="false" customHeight="false" outlineLevel="0" collapsed="false">
      <c r="A8" s="1" t="s">
        <v>34</v>
      </c>
      <c r="B8" s="1" t="s">
        <v>35</v>
      </c>
      <c r="C8" s="1" t="n">
        <v>211600.09</v>
      </c>
      <c r="D8" s="1" t="n">
        <v>32226.76</v>
      </c>
      <c r="E8" s="1" t="n">
        <v>239200</v>
      </c>
      <c r="F8" s="2" t="n">
        <v>0</v>
      </c>
      <c r="G8" s="0" t="s">
        <v>544</v>
      </c>
    </row>
    <row r="9" customFormat="false" ht="12.75" hidden="false" customHeight="false" outlineLevel="0" collapsed="false">
      <c r="A9" s="1" t="s">
        <v>36</v>
      </c>
      <c r="B9" s="1" t="s">
        <v>37</v>
      </c>
      <c r="C9" s="1" t="n">
        <v>16483.87</v>
      </c>
      <c r="D9" s="1" t="n">
        <v>109107.95</v>
      </c>
      <c r="E9" s="1" t="n">
        <v>89375</v>
      </c>
      <c r="F9" s="2" t="n">
        <v>0</v>
      </c>
      <c r="G9" s="0" t="s">
        <v>544</v>
      </c>
    </row>
    <row r="10" customFormat="false" ht="12.75" hidden="false" customHeight="false" outlineLevel="0" collapsed="false">
      <c r="A10" s="1" t="s">
        <v>38</v>
      </c>
      <c r="B10" s="1" t="s">
        <v>39</v>
      </c>
      <c r="C10" s="1" t="n">
        <v>2</v>
      </c>
      <c r="D10" s="1" t="n">
        <v>60000</v>
      </c>
      <c r="E10" s="1" t="n">
        <v>0</v>
      </c>
      <c r="F10" s="60" t="n">
        <v>0</v>
      </c>
    </row>
    <row r="11" customFormat="false" ht="12.75" hidden="false" customHeight="false" outlineLevel="0" collapsed="false">
      <c r="A11" s="1" t="s">
        <v>41</v>
      </c>
      <c r="B11" s="1" t="s">
        <v>42</v>
      </c>
      <c r="C11" s="1" t="n">
        <v>1</v>
      </c>
      <c r="D11" s="1" t="n">
        <v>225</v>
      </c>
      <c r="E11" s="1" t="n">
        <v>210.1</v>
      </c>
      <c r="F11" s="60" t="n">
        <v>202.5</v>
      </c>
    </row>
    <row r="12" customFormat="false" ht="12.75" hidden="false" customHeight="false" outlineLevel="0" collapsed="false">
      <c r="A12" s="1" t="s">
        <v>43</v>
      </c>
      <c r="B12" s="1" t="s">
        <v>44</v>
      </c>
      <c r="C12" s="1" t="n">
        <v>4776</v>
      </c>
      <c r="D12" s="1" t="n">
        <v>411.01</v>
      </c>
      <c r="E12" s="1" t="n">
        <v>3413.2</v>
      </c>
      <c r="F12" s="60" t="n">
        <v>385.5</v>
      </c>
    </row>
    <row r="13" customFormat="false" ht="12.75" hidden="false" customHeight="false" outlineLevel="0" collapsed="false">
      <c r="A13" s="1" t="s">
        <v>45</v>
      </c>
      <c r="B13" s="1" t="s">
        <v>46</v>
      </c>
      <c r="C13" s="1" t="n">
        <v>101</v>
      </c>
      <c r="D13" s="1" t="n">
        <v>435</v>
      </c>
      <c r="E13" s="1" t="n">
        <v>1752.2</v>
      </c>
      <c r="F13" s="60" t="n">
        <v>391.5</v>
      </c>
    </row>
    <row r="14" customFormat="false" ht="12.75" hidden="false" customHeight="false" outlineLevel="0" collapsed="false">
      <c r="A14" s="1" t="s">
        <v>47</v>
      </c>
      <c r="B14" s="1" t="s">
        <v>48</v>
      </c>
      <c r="C14" s="1" t="n">
        <v>1</v>
      </c>
      <c r="D14" s="1" t="n">
        <v>93000</v>
      </c>
      <c r="E14" s="1" t="n">
        <v>1</v>
      </c>
      <c r="F14" s="60" t="n">
        <v>93000</v>
      </c>
    </row>
    <row r="15" customFormat="false" ht="12.75" hidden="false" customHeight="false" outlineLevel="0" collapsed="false">
      <c r="A15" s="1" t="s">
        <v>49</v>
      </c>
      <c r="B15" s="1" t="s">
        <v>48</v>
      </c>
      <c r="C15" s="1" t="n">
        <v>1</v>
      </c>
      <c r="D15" s="1" t="n">
        <v>93000</v>
      </c>
      <c r="E15" s="1" t="n">
        <v>0</v>
      </c>
      <c r="F15" s="60" t="n">
        <v>0</v>
      </c>
    </row>
    <row r="16" customFormat="false" ht="12.75" hidden="false" customHeight="false" outlineLevel="0" collapsed="false">
      <c r="A16" s="1" t="s">
        <v>51</v>
      </c>
      <c r="B16" s="1" t="s">
        <v>52</v>
      </c>
      <c r="C16" s="1" t="n">
        <v>5000</v>
      </c>
      <c r="D16" s="1" t="n">
        <v>32</v>
      </c>
      <c r="E16" s="1" t="n">
        <v>5300</v>
      </c>
      <c r="F16" s="60" t="n">
        <v>30.188679245283</v>
      </c>
    </row>
    <row r="17" customFormat="false" ht="12.75" hidden="false" customHeight="false" outlineLevel="0" collapsed="false">
      <c r="A17" s="1" t="s">
        <v>53</v>
      </c>
      <c r="B17" s="1" t="s">
        <v>54</v>
      </c>
      <c r="C17" s="1" t="n">
        <v>1000</v>
      </c>
      <c r="D17" s="1" t="n">
        <v>250</v>
      </c>
      <c r="E17" s="1" t="n">
        <v>1071</v>
      </c>
      <c r="F17" s="60" t="n">
        <v>233.426704014939</v>
      </c>
    </row>
    <row r="18" customFormat="false" ht="12.75" hidden="false" customHeight="false" outlineLevel="0" collapsed="false">
      <c r="A18" s="1" t="s">
        <v>55</v>
      </c>
      <c r="B18" s="1" t="s">
        <v>56</v>
      </c>
      <c r="C18" s="1" t="n">
        <v>5000</v>
      </c>
      <c r="D18" s="1" t="n">
        <v>40</v>
      </c>
      <c r="E18" s="1" t="n">
        <v>5300</v>
      </c>
      <c r="F18" s="60" t="n">
        <v>37.7358490566038</v>
      </c>
    </row>
    <row r="19" customFormat="false" ht="12.75" hidden="false" customHeight="false" outlineLevel="0" collapsed="false">
      <c r="A19" s="1" t="s">
        <v>61</v>
      </c>
      <c r="B19" s="1" t="s">
        <v>545</v>
      </c>
      <c r="C19" s="1" t="n">
        <v>65</v>
      </c>
      <c r="D19" s="1" t="n">
        <v>15000</v>
      </c>
      <c r="E19" s="1" t="n">
        <v>119</v>
      </c>
      <c r="F19" s="60" t="n">
        <v>130.434782608696</v>
      </c>
    </row>
    <row r="20" customFormat="false" ht="12.75" hidden="false" customHeight="false" outlineLevel="0" collapsed="false">
      <c r="A20" s="1" t="s">
        <v>64</v>
      </c>
      <c r="B20" s="1" t="s">
        <v>530</v>
      </c>
      <c r="C20" s="1" t="n">
        <v>3</v>
      </c>
      <c r="D20" s="1" t="n">
        <v>30000</v>
      </c>
      <c r="E20" s="1" t="n">
        <v>100</v>
      </c>
      <c r="F20" s="2" t="n">
        <v>0</v>
      </c>
      <c r="G20" s="0" t="s">
        <v>544</v>
      </c>
    </row>
    <row r="21" customFormat="false" ht="12.75" hidden="false" customHeight="false" outlineLevel="0" collapsed="false">
      <c r="A21" s="1" t="s">
        <v>66</v>
      </c>
      <c r="B21" s="1" t="s">
        <v>67</v>
      </c>
      <c r="C21" s="1" t="n">
        <v>5</v>
      </c>
      <c r="D21" s="1" t="n">
        <v>0</v>
      </c>
      <c r="E21" s="1" t="n">
        <v>3</v>
      </c>
      <c r="F21" s="2" t="n">
        <v>0</v>
      </c>
      <c r="G21" s="0" t="s">
        <v>544</v>
      </c>
    </row>
    <row r="22" customFormat="false" ht="12.75" hidden="false" customHeight="false" outlineLevel="0" collapsed="false">
      <c r="A22" s="1" t="s">
        <v>68</v>
      </c>
      <c r="B22" s="1" t="s">
        <v>69</v>
      </c>
      <c r="C22" s="1" t="n">
        <v>5</v>
      </c>
      <c r="D22" s="1" t="n">
        <v>0</v>
      </c>
      <c r="E22" s="1" t="n">
        <v>5</v>
      </c>
      <c r="F22" s="2" t="n">
        <v>0</v>
      </c>
      <c r="G22" s="0" t="s">
        <v>544</v>
      </c>
    </row>
    <row r="23" customFormat="false" ht="12.75" hidden="false" customHeight="false" outlineLevel="0" collapsed="false">
      <c r="A23" s="1" t="s">
        <v>70</v>
      </c>
      <c r="B23" s="1" t="s">
        <v>71</v>
      </c>
      <c r="C23" s="1" t="n">
        <v>160</v>
      </c>
      <c r="D23" s="1" t="n">
        <v>7665.19</v>
      </c>
      <c r="E23" s="1" t="n">
        <v>0</v>
      </c>
      <c r="F23" s="60" t="n">
        <v>0</v>
      </c>
    </row>
    <row r="24" customFormat="false" ht="12.75" hidden="false" customHeight="false" outlineLevel="0" collapsed="false">
      <c r="A24" s="1" t="s">
        <v>72</v>
      </c>
      <c r="B24" s="1" t="s">
        <v>73</v>
      </c>
      <c r="C24" s="1" t="n">
        <v>72.02</v>
      </c>
      <c r="D24" s="1" t="n">
        <v>10186.44</v>
      </c>
      <c r="E24" s="1" t="n">
        <v>47</v>
      </c>
      <c r="F24" s="2" t="n">
        <v>0</v>
      </c>
      <c r="G24" s="0" t="s">
        <v>544</v>
      </c>
    </row>
    <row r="25" customFormat="false" ht="12.75" hidden="false" customHeight="false" outlineLevel="0" collapsed="false">
      <c r="A25" s="1" t="s">
        <v>74</v>
      </c>
      <c r="B25" s="1" t="s">
        <v>75</v>
      </c>
      <c r="C25" s="1" t="n">
        <v>122.53</v>
      </c>
      <c r="D25" s="1" t="n">
        <v>45000</v>
      </c>
      <c r="E25" s="1" t="n">
        <v>1</v>
      </c>
      <c r="F25" s="2" t="n">
        <v>0</v>
      </c>
      <c r="G25" s="0" t="s">
        <v>544</v>
      </c>
    </row>
    <row r="26" customFormat="false" ht="12.75" hidden="false" customHeight="false" outlineLevel="0" collapsed="false">
      <c r="A26" s="1" t="s">
        <v>76</v>
      </c>
      <c r="B26" s="1" t="s">
        <v>77</v>
      </c>
      <c r="C26" s="1" t="n">
        <v>0</v>
      </c>
      <c r="D26" s="1" t="n">
        <v>18000</v>
      </c>
      <c r="E26" s="1" t="n">
        <v>0</v>
      </c>
      <c r="F26" s="60" t="n">
        <v>0</v>
      </c>
    </row>
    <row r="27" customFormat="false" ht="12.75" hidden="false" customHeight="false" outlineLevel="0" collapsed="false">
      <c r="A27" s="1" t="s">
        <v>79</v>
      </c>
      <c r="B27" s="1" t="s">
        <v>80</v>
      </c>
      <c r="C27" s="1" t="n">
        <v>0</v>
      </c>
      <c r="D27" s="1" t="n">
        <v>6850</v>
      </c>
      <c r="E27" s="1" t="n">
        <v>6</v>
      </c>
      <c r="F27" s="2" t="n">
        <v>0</v>
      </c>
      <c r="G27" s="0" t="s">
        <v>544</v>
      </c>
    </row>
    <row r="28" customFormat="false" ht="12.75" hidden="false" customHeight="false" outlineLevel="0" collapsed="false">
      <c r="A28" s="1" t="s">
        <v>82</v>
      </c>
      <c r="B28" s="1" t="s">
        <v>83</v>
      </c>
      <c r="C28" s="1" t="n">
        <v>91</v>
      </c>
      <c r="D28" s="1" t="n">
        <v>4669.27</v>
      </c>
      <c r="E28" s="1" t="n">
        <v>88</v>
      </c>
      <c r="F28" s="2" t="n">
        <v>0</v>
      </c>
      <c r="G28" s="0" t="s">
        <v>544</v>
      </c>
    </row>
    <row r="29" customFormat="false" ht="12.75" hidden="false" customHeight="false" outlineLevel="0" collapsed="false">
      <c r="A29" s="1" t="s">
        <v>84</v>
      </c>
      <c r="B29" s="1" t="s">
        <v>85</v>
      </c>
      <c r="C29" s="1" t="n">
        <v>44</v>
      </c>
      <c r="D29" s="1" t="n">
        <v>6510.32</v>
      </c>
      <c r="E29" s="1" t="n">
        <v>0</v>
      </c>
      <c r="F29" s="60" t="n">
        <v>0</v>
      </c>
    </row>
    <row r="30" customFormat="false" ht="12.75" hidden="false" customHeight="false" outlineLevel="0" collapsed="false">
      <c r="A30" s="1" t="s">
        <v>86</v>
      </c>
      <c r="B30" s="1" t="s">
        <v>87</v>
      </c>
      <c r="C30" s="1" t="n">
        <v>47.5</v>
      </c>
      <c r="D30" s="1" t="n">
        <v>6511.54</v>
      </c>
      <c r="E30" s="1" t="n">
        <v>36</v>
      </c>
      <c r="F30" s="2" t="n">
        <v>0</v>
      </c>
      <c r="G30" s="0" t="s">
        <v>544</v>
      </c>
    </row>
    <row r="31" customFormat="false" ht="12.75" hidden="false" customHeight="false" outlineLevel="0" collapsed="false">
      <c r="A31" s="1" t="s">
        <v>88</v>
      </c>
      <c r="B31" s="1" t="s">
        <v>89</v>
      </c>
      <c r="C31" s="1" t="n">
        <v>78.75</v>
      </c>
      <c r="D31" s="1" t="n">
        <v>4767.39</v>
      </c>
      <c r="E31" s="1" t="n">
        <v>25</v>
      </c>
      <c r="F31" s="2" t="n">
        <v>0</v>
      </c>
      <c r="G31" s="0" t="s">
        <v>544</v>
      </c>
    </row>
    <row r="32" customFormat="false" ht="12.75" hidden="false" customHeight="false" outlineLevel="0" collapsed="false">
      <c r="A32" s="1" t="s">
        <v>90</v>
      </c>
      <c r="B32" s="1" t="s">
        <v>91</v>
      </c>
      <c r="C32" s="1" t="n">
        <v>38.5</v>
      </c>
      <c r="D32" s="1" t="n">
        <v>6510.63</v>
      </c>
      <c r="E32" s="1" t="n">
        <v>25</v>
      </c>
      <c r="F32" s="2" t="n">
        <v>0</v>
      </c>
      <c r="G32" s="0" t="s">
        <v>544</v>
      </c>
    </row>
    <row r="33" customFormat="false" ht="12.75" hidden="false" customHeight="false" outlineLevel="0" collapsed="false">
      <c r="A33" s="1" t="s">
        <v>92</v>
      </c>
      <c r="B33" s="1" t="s">
        <v>93</v>
      </c>
      <c r="C33" s="1" t="n">
        <v>83</v>
      </c>
      <c r="D33" s="1" t="n">
        <v>5986.36</v>
      </c>
      <c r="E33" s="1" t="n">
        <v>69</v>
      </c>
      <c r="F33" s="2" t="n">
        <v>0</v>
      </c>
      <c r="G33" s="0" t="s">
        <v>544</v>
      </c>
    </row>
    <row r="34" customFormat="false" ht="12.75" hidden="false" customHeight="false" outlineLevel="0" collapsed="false">
      <c r="A34" s="1" t="s">
        <v>94</v>
      </c>
      <c r="B34" s="1" t="s">
        <v>95</v>
      </c>
      <c r="C34" s="1" t="n">
        <v>93.5</v>
      </c>
      <c r="D34" s="1" t="n">
        <v>6120.04</v>
      </c>
      <c r="E34" s="1" t="n">
        <v>8</v>
      </c>
      <c r="F34" s="2" t="n">
        <v>0</v>
      </c>
      <c r="G34" s="0" t="s">
        <v>544</v>
      </c>
    </row>
    <row r="35" customFormat="false" ht="12.75" hidden="false" customHeight="false" outlineLevel="0" collapsed="false">
      <c r="A35" s="1" t="s">
        <v>96</v>
      </c>
      <c r="B35" s="1" t="s">
        <v>97</v>
      </c>
      <c r="C35" s="1" t="n">
        <v>71.75</v>
      </c>
      <c r="D35" s="1" t="n">
        <v>6067.39</v>
      </c>
      <c r="E35" s="1" t="n">
        <v>4</v>
      </c>
      <c r="F35" s="2" t="n">
        <v>0</v>
      </c>
      <c r="G35" s="0" t="s">
        <v>544</v>
      </c>
    </row>
    <row r="36" customFormat="false" ht="12.75" hidden="false" customHeight="false" outlineLevel="0" collapsed="false">
      <c r="A36" s="1" t="s">
        <v>98</v>
      </c>
      <c r="B36" s="1" t="s">
        <v>99</v>
      </c>
      <c r="C36" s="1" t="n">
        <v>10</v>
      </c>
      <c r="D36" s="1" t="n">
        <v>8000</v>
      </c>
      <c r="E36" s="1" t="n">
        <v>0</v>
      </c>
      <c r="F36" s="60" t="n">
        <v>0</v>
      </c>
    </row>
    <row r="37" customFormat="false" ht="12.75" hidden="false" customHeight="false" outlineLevel="0" collapsed="false">
      <c r="A37" s="1" t="s">
        <v>100</v>
      </c>
      <c r="B37" s="1" t="s">
        <v>101</v>
      </c>
      <c r="C37" s="1" t="n">
        <v>0</v>
      </c>
      <c r="D37" s="1" t="n">
        <v>6000</v>
      </c>
      <c r="E37" s="1" t="n">
        <v>0</v>
      </c>
      <c r="F37" s="60" t="n">
        <v>0</v>
      </c>
    </row>
    <row r="38" customFormat="false" ht="12.75" hidden="false" customHeight="false" outlineLevel="0" collapsed="false">
      <c r="A38" s="1" t="s">
        <v>102</v>
      </c>
      <c r="B38" s="1" t="s">
        <v>103</v>
      </c>
      <c r="C38" s="1" t="n">
        <v>5</v>
      </c>
      <c r="D38" s="1" t="n">
        <v>8000</v>
      </c>
      <c r="E38" s="1" t="n">
        <v>0</v>
      </c>
      <c r="F38" s="60" t="n">
        <v>8000</v>
      </c>
    </row>
    <row r="39" customFormat="false" ht="12.75" hidden="false" customHeight="false" outlineLevel="0" collapsed="false">
      <c r="A39" s="1" t="s">
        <v>104</v>
      </c>
      <c r="B39" s="1" t="s">
        <v>105</v>
      </c>
      <c r="C39" s="1" t="n">
        <v>2</v>
      </c>
      <c r="D39" s="1" t="n">
        <v>61208</v>
      </c>
      <c r="E39" s="1" t="n">
        <v>1</v>
      </c>
      <c r="F39" s="60" t="n">
        <v>58000</v>
      </c>
    </row>
    <row r="40" customFormat="false" ht="12.75" hidden="false" customHeight="false" outlineLevel="0" collapsed="false">
      <c r="A40" s="1" t="s">
        <v>106</v>
      </c>
      <c r="B40" s="1" t="s">
        <v>107</v>
      </c>
      <c r="C40" s="1" t="n">
        <v>9</v>
      </c>
      <c r="D40" s="1" t="n">
        <v>57000</v>
      </c>
      <c r="E40" s="1" t="n">
        <v>5</v>
      </c>
      <c r="F40" s="2" t="n">
        <v>0</v>
      </c>
      <c r="G40" s="0" t="s">
        <v>544</v>
      </c>
    </row>
    <row r="41" customFormat="false" ht="12.75" hidden="false" customHeight="false" outlineLevel="0" collapsed="false">
      <c r="A41" s="1" t="s">
        <v>108</v>
      </c>
      <c r="B41" s="1" t="s">
        <v>109</v>
      </c>
      <c r="C41" s="1" t="n">
        <v>5</v>
      </c>
      <c r="D41" s="1" t="n">
        <v>27000</v>
      </c>
      <c r="E41" s="1" t="n">
        <v>1</v>
      </c>
      <c r="F41" s="2" t="n">
        <v>0</v>
      </c>
      <c r="G41" s="0" t="s">
        <v>544</v>
      </c>
    </row>
    <row r="42" customFormat="false" ht="12.75" hidden="false" customHeight="false" outlineLevel="0" collapsed="false">
      <c r="A42" s="1" t="s">
        <v>110</v>
      </c>
      <c r="B42" s="1" t="s">
        <v>111</v>
      </c>
      <c r="C42" s="1" t="n">
        <v>5</v>
      </c>
      <c r="D42" s="1" t="n">
        <v>22000</v>
      </c>
      <c r="E42" s="1" t="n">
        <v>1</v>
      </c>
      <c r="F42" s="60" t="n">
        <v>14000</v>
      </c>
    </row>
    <row r="43" customFormat="false" ht="12.75" hidden="false" customHeight="false" outlineLevel="0" collapsed="false">
      <c r="A43" s="1" t="s">
        <v>112</v>
      </c>
      <c r="B43" s="1" t="s">
        <v>113</v>
      </c>
      <c r="C43" s="1" t="n">
        <v>1</v>
      </c>
      <c r="D43" s="1" t="n">
        <v>50000</v>
      </c>
      <c r="E43" s="1" t="n">
        <v>20</v>
      </c>
      <c r="F43" s="2" t="n">
        <v>0</v>
      </c>
      <c r="G43" s="0" t="s">
        <v>544</v>
      </c>
    </row>
    <row r="44" customFormat="false" ht="12.75" hidden="false" customHeight="false" outlineLevel="0" collapsed="false">
      <c r="A44" s="1" t="s">
        <v>114</v>
      </c>
      <c r="B44" s="1" t="s">
        <v>115</v>
      </c>
      <c r="C44" s="1" t="n">
        <v>5</v>
      </c>
      <c r="D44" s="1" t="n">
        <v>15000</v>
      </c>
      <c r="E44" s="1" t="n">
        <v>3</v>
      </c>
      <c r="F44" s="2" t="n">
        <v>0</v>
      </c>
      <c r="G44" s="0" t="s">
        <v>544</v>
      </c>
    </row>
    <row r="45" customFormat="false" ht="12.75" hidden="false" customHeight="false" outlineLevel="0" collapsed="false">
      <c r="A45" s="1" t="s">
        <v>117</v>
      </c>
      <c r="B45" s="1" t="s">
        <v>118</v>
      </c>
      <c r="C45" s="1" t="n">
        <v>10</v>
      </c>
      <c r="D45" s="1" t="n">
        <v>54810</v>
      </c>
      <c r="E45" s="1" t="n">
        <v>19</v>
      </c>
      <c r="F45" s="2" t="n">
        <v>0</v>
      </c>
      <c r="G45" s="0" t="s">
        <v>544</v>
      </c>
    </row>
    <row r="46" customFormat="false" ht="12.75" hidden="false" customHeight="false" outlineLevel="0" collapsed="false">
      <c r="A46" s="1" t="s">
        <v>119</v>
      </c>
      <c r="B46" s="1" t="s">
        <v>120</v>
      </c>
      <c r="C46" s="1" t="n">
        <v>20</v>
      </c>
      <c r="D46" s="1" t="n">
        <v>56082.52</v>
      </c>
      <c r="E46" s="1" t="n">
        <v>0</v>
      </c>
      <c r="F46" s="60" t="n">
        <v>57720</v>
      </c>
    </row>
    <row r="47" customFormat="false" ht="12.75" hidden="false" customHeight="false" outlineLevel="0" collapsed="false">
      <c r="A47" s="1" t="s">
        <v>121</v>
      </c>
      <c r="B47" s="1" t="s">
        <v>122</v>
      </c>
      <c r="C47" s="1" t="n">
        <v>2</v>
      </c>
      <c r="D47" s="1" t="n">
        <v>1500000</v>
      </c>
      <c r="E47" s="1" t="n">
        <v>0</v>
      </c>
      <c r="F47" s="60" t="n">
        <v>0</v>
      </c>
    </row>
    <row r="48" customFormat="false" ht="12.75" hidden="false" customHeight="false" outlineLevel="0" collapsed="false">
      <c r="A48" s="1" t="s">
        <v>123</v>
      </c>
      <c r="B48" s="1" t="s">
        <v>124</v>
      </c>
      <c r="C48" s="1" t="n">
        <v>1</v>
      </c>
      <c r="D48" s="1" t="n">
        <v>100000</v>
      </c>
      <c r="E48" s="1" t="n">
        <v>0</v>
      </c>
      <c r="F48" s="60" t="n">
        <v>0</v>
      </c>
    </row>
    <row r="49" customFormat="false" ht="12.75" hidden="false" customHeight="false" outlineLevel="0" collapsed="false">
      <c r="A49" s="1" t="s">
        <v>125</v>
      </c>
      <c r="B49" s="1" t="s">
        <v>126</v>
      </c>
      <c r="C49" s="1" t="n">
        <v>602</v>
      </c>
      <c r="D49" s="1" t="n">
        <v>8000</v>
      </c>
      <c r="E49" s="1" t="n">
        <v>580</v>
      </c>
      <c r="F49" s="2" t="n">
        <v>0</v>
      </c>
      <c r="G49" s="0" t="s">
        <v>544</v>
      </c>
    </row>
    <row r="50" customFormat="false" ht="12.75" hidden="false" customHeight="false" outlineLevel="0" collapsed="false">
      <c r="A50" s="1" t="s">
        <v>128</v>
      </c>
      <c r="B50" s="1" t="s">
        <v>129</v>
      </c>
      <c r="C50" s="1" t="n">
        <v>2</v>
      </c>
      <c r="D50" s="1" t="n">
        <v>11100</v>
      </c>
      <c r="E50" s="1" t="n">
        <v>1</v>
      </c>
      <c r="F50" s="2" t="n">
        <v>0</v>
      </c>
      <c r="G50" s="0" t="s">
        <v>544</v>
      </c>
    </row>
    <row r="51" customFormat="false" ht="12.75" hidden="false" customHeight="false" outlineLevel="0" collapsed="false">
      <c r="A51" s="1" t="s">
        <v>131</v>
      </c>
      <c r="B51" s="1" t="s">
        <v>132</v>
      </c>
      <c r="C51" s="1" t="n">
        <v>0</v>
      </c>
      <c r="D51" s="1" t="n">
        <v>15882.35</v>
      </c>
      <c r="E51" s="1" t="n">
        <v>3400</v>
      </c>
      <c r="F51" s="2" t="n">
        <v>0</v>
      </c>
      <c r="G51" s="0" t="s">
        <v>544</v>
      </c>
    </row>
    <row r="52" customFormat="false" ht="12.75" hidden="false" customHeight="false" outlineLevel="0" collapsed="false">
      <c r="A52" s="1" t="s">
        <v>133</v>
      </c>
      <c r="B52" s="1" t="s">
        <v>134</v>
      </c>
      <c r="C52" s="1" t="n">
        <v>51</v>
      </c>
      <c r="D52" s="1" t="n">
        <v>13725.49</v>
      </c>
      <c r="E52" s="1" t="n">
        <v>5000</v>
      </c>
      <c r="F52" s="2" t="n">
        <v>0</v>
      </c>
      <c r="G52" s="0" t="s">
        <v>544</v>
      </c>
    </row>
    <row r="53" customFormat="false" ht="12.75" hidden="false" customHeight="false" outlineLevel="0" collapsed="false">
      <c r="A53" s="1" t="s">
        <v>135</v>
      </c>
      <c r="B53" s="1" t="s">
        <v>136</v>
      </c>
      <c r="C53" s="1" t="n">
        <v>5</v>
      </c>
      <c r="D53" s="1" t="n">
        <v>30000</v>
      </c>
      <c r="E53" s="1" t="n">
        <v>0</v>
      </c>
      <c r="F53" s="60" t="n">
        <v>0</v>
      </c>
    </row>
    <row r="54" customFormat="false" ht="12.75" hidden="false" customHeight="false" outlineLevel="0" collapsed="false">
      <c r="A54" s="1" t="s">
        <v>137</v>
      </c>
      <c r="B54" s="1" t="s">
        <v>138</v>
      </c>
      <c r="C54" s="1" t="n">
        <v>12000</v>
      </c>
      <c r="D54" s="1" t="n">
        <v>47.5</v>
      </c>
      <c r="E54" s="1" t="n">
        <v>0</v>
      </c>
      <c r="F54" s="1" t="n">
        <v>47.5</v>
      </c>
    </row>
    <row r="55" customFormat="false" ht="12.75" hidden="false" customHeight="false" outlineLevel="0" collapsed="false">
      <c r="A55" s="1" t="s">
        <v>139</v>
      </c>
      <c r="B55" s="1" t="s">
        <v>140</v>
      </c>
      <c r="C55" s="1" t="n">
        <v>98</v>
      </c>
      <c r="D55" s="1" t="n">
        <v>300</v>
      </c>
      <c r="E55" s="1" t="n">
        <v>97</v>
      </c>
      <c r="F55" s="2" t="n">
        <v>0</v>
      </c>
      <c r="G55" s="0" t="s">
        <v>544</v>
      </c>
    </row>
    <row r="56" customFormat="false" ht="12.75" hidden="false" customHeight="false" outlineLevel="0" collapsed="false">
      <c r="A56" s="1" t="s">
        <v>141</v>
      </c>
      <c r="B56" s="1" t="s">
        <v>142</v>
      </c>
      <c r="C56" s="1" t="n">
        <v>12</v>
      </c>
      <c r="D56" s="1" t="n">
        <v>4584</v>
      </c>
      <c r="E56" s="1" t="n">
        <v>0</v>
      </c>
      <c r="F56" s="60" t="n">
        <v>4584</v>
      </c>
    </row>
    <row r="57" customFormat="false" ht="12.75" hidden="false" customHeight="false" outlineLevel="0" collapsed="false">
      <c r="A57" s="1" t="s">
        <v>143</v>
      </c>
      <c r="B57" s="1" t="s">
        <v>144</v>
      </c>
      <c r="C57" s="1" t="n">
        <v>50</v>
      </c>
      <c r="D57" s="1" t="n">
        <v>1240</v>
      </c>
      <c r="E57" s="1" t="n">
        <v>0</v>
      </c>
      <c r="F57" s="60" t="n">
        <v>0</v>
      </c>
    </row>
    <row r="58" customFormat="false" ht="12.75" hidden="false" customHeight="false" outlineLevel="0" collapsed="false">
      <c r="A58" s="1" t="s">
        <v>145</v>
      </c>
      <c r="B58" s="1" t="s">
        <v>146</v>
      </c>
      <c r="C58" s="1" t="n">
        <v>1</v>
      </c>
      <c r="D58" s="1" t="n">
        <v>75000</v>
      </c>
      <c r="E58" s="1" t="n">
        <v>21</v>
      </c>
      <c r="F58" s="2" t="n">
        <v>0</v>
      </c>
      <c r="G58" s="0" t="s">
        <v>544</v>
      </c>
    </row>
    <row r="59" customFormat="false" ht="12.75" hidden="false" customHeight="false" outlineLevel="0" collapsed="false">
      <c r="A59" s="1" t="s">
        <v>147</v>
      </c>
      <c r="B59" s="1" t="s">
        <v>148</v>
      </c>
      <c r="C59" s="1" t="n">
        <v>4</v>
      </c>
      <c r="D59" s="1" t="n">
        <v>50000</v>
      </c>
      <c r="E59" s="1" t="n">
        <v>10</v>
      </c>
      <c r="F59" s="60" t="n">
        <v>40000</v>
      </c>
    </row>
    <row r="60" customFormat="false" ht="12.75" hidden="false" customHeight="false" outlineLevel="0" collapsed="false">
      <c r="A60" s="1" t="s">
        <v>149</v>
      </c>
      <c r="B60" s="1" t="s">
        <v>150</v>
      </c>
      <c r="C60" s="1" t="n">
        <v>2</v>
      </c>
      <c r="D60" s="1" t="n">
        <v>105000</v>
      </c>
      <c r="E60" s="1" t="n">
        <v>3</v>
      </c>
      <c r="F60" s="2" t="n">
        <v>0</v>
      </c>
      <c r="G60" s="0" t="s">
        <v>544</v>
      </c>
    </row>
    <row r="61" customFormat="false" ht="12.75" hidden="false" customHeight="false" outlineLevel="0" collapsed="false">
      <c r="A61" s="1" t="s">
        <v>151</v>
      </c>
      <c r="B61" s="1" t="s">
        <v>152</v>
      </c>
      <c r="C61" s="1" t="n">
        <v>2</v>
      </c>
      <c r="D61" s="1" t="n">
        <v>8880</v>
      </c>
      <c r="E61" s="1" t="n">
        <v>2</v>
      </c>
      <c r="F61" s="1" t="n">
        <v>8880</v>
      </c>
    </row>
    <row r="62" customFormat="false" ht="12.75" hidden="false" customHeight="false" outlineLevel="0" collapsed="false">
      <c r="A62" s="1" t="s">
        <v>153</v>
      </c>
      <c r="B62" s="1" t="s">
        <v>154</v>
      </c>
      <c r="C62" s="1" t="n">
        <v>2</v>
      </c>
      <c r="D62" s="1" t="n">
        <v>215000</v>
      </c>
      <c r="E62" s="1" t="n">
        <v>1</v>
      </c>
      <c r="F62" s="2" t="n">
        <v>0</v>
      </c>
      <c r="G62" s="0" t="s">
        <v>544</v>
      </c>
    </row>
    <row r="63" customFormat="false" ht="12.75" hidden="false" customHeight="false" outlineLevel="0" collapsed="false">
      <c r="A63" s="1" t="s">
        <v>155</v>
      </c>
      <c r="B63" s="1" t="s">
        <v>156</v>
      </c>
      <c r="C63" s="1" t="n">
        <v>3</v>
      </c>
      <c r="D63" s="1" t="n">
        <v>35000</v>
      </c>
      <c r="E63" s="1" t="n">
        <v>2</v>
      </c>
      <c r="F63" s="2" t="n">
        <v>0</v>
      </c>
      <c r="G63" s="0" t="s">
        <v>544</v>
      </c>
    </row>
    <row r="64" customFormat="false" ht="12.75" hidden="false" customHeight="false" outlineLevel="0" collapsed="false">
      <c r="A64" s="1" t="s">
        <v>157</v>
      </c>
      <c r="B64" s="1" t="s">
        <v>158</v>
      </c>
      <c r="C64" s="1" t="n">
        <v>1</v>
      </c>
      <c r="D64" s="1" t="n">
        <v>99900</v>
      </c>
      <c r="E64" s="1" t="n">
        <v>50</v>
      </c>
      <c r="F64" s="60" t="n">
        <v>3330</v>
      </c>
    </row>
    <row r="65" customFormat="false" ht="12.75" hidden="false" customHeight="false" outlineLevel="0" collapsed="false">
      <c r="A65" s="1" t="s">
        <v>159</v>
      </c>
      <c r="B65" s="1" t="s">
        <v>160</v>
      </c>
      <c r="C65" s="1" t="n">
        <v>3</v>
      </c>
      <c r="D65" s="1" t="n">
        <v>110000</v>
      </c>
      <c r="E65" s="1" t="n">
        <v>0</v>
      </c>
      <c r="F65" s="60" t="n">
        <v>0</v>
      </c>
    </row>
    <row r="66" customFormat="false" ht="12.75" hidden="false" customHeight="false" outlineLevel="0" collapsed="false">
      <c r="A66" s="1" t="s">
        <v>161</v>
      </c>
      <c r="B66" s="1" t="s">
        <v>162</v>
      </c>
      <c r="C66" s="1" t="n">
        <v>12</v>
      </c>
      <c r="D66" s="1" t="n">
        <v>2500</v>
      </c>
      <c r="E66" s="1" t="n">
        <v>9</v>
      </c>
      <c r="F66" s="2" t="n">
        <v>0</v>
      </c>
      <c r="G66" s="0" t="s">
        <v>544</v>
      </c>
    </row>
    <row r="67" customFormat="false" ht="12.75" hidden="false" customHeight="false" outlineLevel="0" collapsed="false">
      <c r="A67" s="1" t="s">
        <v>163</v>
      </c>
      <c r="B67" s="1" t="s">
        <v>164</v>
      </c>
      <c r="C67" s="1" t="n">
        <v>21</v>
      </c>
      <c r="D67" s="1" t="n">
        <v>5681.82</v>
      </c>
      <c r="E67" s="1" t="n">
        <v>21</v>
      </c>
      <c r="F67" s="2" t="n">
        <v>0</v>
      </c>
      <c r="G67" s="0" t="s">
        <v>544</v>
      </c>
    </row>
    <row r="68" customFormat="false" ht="12.75" hidden="false" customHeight="false" outlineLevel="0" collapsed="false">
      <c r="A68" s="1" t="s">
        <v>165</v>
      </c>
      <c r="B68" s="1" t="s">
        <v>166</v>
      </c>
      <c r="C68" s="1" t="n">
        <v>15</v>
      </c>
      <c r="D68" s="1" t="n">
        <v>49600</v>
      </c>
      <c r="E68" s="1" t="n">
        <v>13</v>
      </c>
      <c r="F68" s="2" t="n">
        <v>0</v>
      </c>
      <c r="G68" s="0" t="s">
        <v>544</v>
      </c>
    </row>
    <row r="69" customFormat="false" ht="12.75" hidden="false" customHeight="false" outlineLevel="0" collapsed="false">
      <c r="A69" s="1" t="s">
        <v>167</v>
      </c>
      <c r="B69" s="1" t="s">
        <v>168</v>
      </c>
      <c r="C69" s="1" t="n">
        <v>10</v>
      </c>
      <c r="D69" s="1" t="n">
        <v>5000</v>
      </c>
      <c r="E69" s="1" t="n">
        <v>10</v>
      </c>
      <c r="F69" s="60" t="n">
        <v>5000</v>
      </c>
    </row>
    <row r="70" customFormat="false" ht="12.75" hidden="false" customHeight="false" outlineLevel="0" collapsed="false">
      <c r="A70" s="1" t="s">
        <v>169</v>
      </c>
      <c r="B70" s="1" t="s">
        <v>170</v>
      </c>
      <c r="C70" s="1" t="n">
        <v>10</v>
      </c>
      <c r="D70" s="1" t="n">
        <v>11500</v>
      </c>
      <c r="E70" s="1" t="n">
        <v>10</v>
      </c>
      <c r="F70" s="2" t="n">
        <v>0</v>
      </c>
      <c r="G70" s="0" t="s">
        <v>544</v>
      </c>
    </row>
    <row r="71" customFormat="false" ht="12.75" hidden="false" customHeight="false" outlineLevel="0" collapsed="false">
      <c r="A71" s="1" t="s">
        <v>171</v>
      </c>
      <c r="B71" s="1" t="s">
        <v>172</v>
      </c>
      <c r="C71" s="1" t="n">
        <v>50</v>
      </c>
      <c r="D71" s="1" t="n">
        <v>7770</v>
      </c>
      <c r="E71" s="1" t="n">
        <v>50</v>
      </c>
      <c r="F71" s="60" t="n">
        <v>7770</v>
      </c>
    </row>
    <row r="72" customFormat="false" ht="12.75" hidden="false" customHeight="false" outlineLevel="0" collapsed="false">
      <c r="A72" s="1" t="s">
        <v>173</v>
      </c>
      <c r="B72" s="1" t="s">
        <v>174</v>
      </c>
      <c r="C72" s="1" t="n">
        <v>50</v>
      </c>
      <c r="D72" s="1" t="n">
        <v>7770</v>
      </c>
      <c r="E72" s="1" t="n">
        <v>50</v>
      </c>
      <c r="F72" s="60" t="n">
        <v>7770</v>
      </c>
    </row>
    <row r="73" customFormat="false" ht="12.75" hidden="false" customHeight="false" outlineLevel="0" collapsed="false">
      <c r="A73" s="1" t="s">
        <v>175</v>
      </c>
      <c r="B73" s="1" t="s">
        <v>176</v>
      </c>
      <c r="C73" s="1" t="n">
        <v>50</v>
      </c>
      <c r="D73" s="1" t="n">
        <v>7770</v>
      </c>
      <c r="E73" s="1" t="n">
        <v>50</v>
      </c>
      <c r="F73" s="60" t="n">
        <v>7770</v>
      </c>
    </row>
    <row r="74" customFormat="false" ht="12.75" hidden="false" customHeight="false" outlineLevel="0" collapsed="false">
      <c r="A74" s="1" t="s">
        <v>177</v>
      </c>
      <c r="B74" s="1" t="s">
        <v>178</v>
      </c>
      <c r="C74" s="1" t="n">
        <v>50</v>
      </c>
      <c r="D74" s="1" t="n">
        <v>7770</v>
      </c>
      <c r="E74" s="1" t="n">
        <v>50</v>
      </c>
      <c r="F74" s="60" t="n">
        <v>7770</v>
      </c>
    </row>
    <row r="75" customFormat="false" ht="12.75" hidden="false" customHeight="false" outlineLevel="0" collapsed="false">
      <c r="A75" s="1" t="s">
        <v>179</v>
      </c>
      <c r="B75" s="1" t="s">
        <v>180</v>
      </c>
      <c r="C75" s="1" t="n">
        <v>50</v>
      </c>
      <c r="D75" s="1" t="n">
        <v>7770</v>
      </c>
      <c r="E75" s="1" t="n">
        <v>50</v>
      </c>
      <c r="F75" s="60" t="n">
        <v>7770</v>
      </c>
    </row>
    <row r="76" customFormat="false" ht="12.75" hidden="false" customHeight="false" outlineLevel="0" collapsed="false">
      <c r="A76" s="1" t="s">
        <v>181</v>
      </c>
      <c r="B76" s="1" t="s">
        <v>182</v>
      </c>
      <c r="C76" s="1" t="n">
        <v>50</v>
      </c>
      <c r="D76" s="1" t="n">
        <v>7770</v>
      </c>
      <c r="E76" s="1" t="n">
        <v>50</v>
      </c>
      <c r="F76" s="60" t="n">
        <v>7770</v>
      </c>
    </row>
    <row r="77" customFormat="false" ht="12.75" hidden="false" customHeight="false" outlineLevel="0" collapsed="false">
      <c r="A77" s="1" t="s">
        <v>183</v>
      </c>
      <c r="B77" s="1" t="s">
        <v>184</v>
      </c>
      <c r="C77" s="1" t="n">
        <v>50</v>
      </c>
      <c r="D77" s="1" t="n">
        <v>7770</v>
      </c>
      <c r="E77" s="1" t="n">
        <v>50</v>
      </c>
      <c r="F77" s="60" t="n">
        <v>7770</v>
      </c>
    </row>
    <row r="78" customFormat="false" ht="12.75" hidden="false" customHeight="false" outlineLevel="0" collapsed="false">
      <c r="A78" s="1" t="s">
        <v>185</v>
      </c>
      <c r="B78" s="1" t="s">
        <v>186</v>
      </c>
      <c r="C78" s="1" t="n">
        <v>9</v>
      </c>
      <c r="D78" s="1" t="n">
        <v>68048.89</v>
      </c>
      <c r="E78" s="1" t="n">
        <v>3</v>
      </c>
      <c r="F78" s="2" t="n">
        <v>0</v>
      </c>
      <c r="G78" s="0" t="s">
        <v>544</v>
      </c>
    </row>
    <row r="79" customFormat="false" ht="12.75" hidden="false" customHeight="false" outlineLevel="0" collapsed="false">
      <c r="A79" s="1" t="s">
        <v>187</v>
      </c>
      <c r="B79" s="1" t="s">
        <v>188</v>
      </c>
      <c r="C79" s="1" t="n">
        <v>21000</v>
      </c>
      <c r="D79" s="1" t="n">
        <v>51.18</v>
      </c>
      <c r="E79" s="1" t="n">
        <v>12800</v>
      </c>
      <c r="F79" s="2" t="n">
        <v>0</v>
      </c>
      <c r="G79" s="0" t="s">
        <v>544</v>
      </c>
    </row>
    <row r="80" customFormat="false" ht="12.75" hidden="false" customHeight="false" outlineLevel="0" collapsed="false">
      <c r="A80" s="1" t="s">
        <v>189</v>
      </c>
      <c r="B80" s="1" t="s">
        <v>190</v>
      </c>
      <c r="C80" s="1" t="n">
        <v>496</v>
      </c>
      <c r="D80" s="1" t="n">
        <v>240</v>
      </c>
      <c r="E80" s="1" t="n">
        <v>0</v>
      </c>
      <c r="F80" s="60" t="n">
        <v>0</v>
      </c>
    </row>
    <row r="81" customFormat="false" ht="12.75" hidden="false" customHeight="false" outlineLevel="0" collapsed="false">
      <c r="A81" s="1" t="s">
        <v>191</v>
      </c>
      <c r="B81" s="1" t="s">
        <v>192</v>
      </c>
      <c r="C81" s="1" t="n">
        <v>60</v>
      </c>
      <c r="D81" s="1" t="n">
        <v>30525</v>
      </c>
      <c r="E81" s="1" t="n">
        <v>60</v>
      </c>
      <c r="F81" s="60" t="n">
        <v>10175</v>
      </c>
    </row>
    <row r="82" customFormat="false" ht="12.75" hidden="false" customHeight="false" outlineLevel="0" collapsed="false">
      <c r="A82" s="1" t="s">
        <v>194</v>
      </c>
      <c r="B82" s="1" t="s">
        <v>195</v>
      </c>
      <c r="C82" s="1" t="n">
        <v>2</v>
      </c>
      <c r="D82" s="1" t="n">
        <v>110000</v>
      </c>
      <c r="E82" s="1" t="n">
        <v>0</v>
      </c>
      <c r="F82" s="60" t="n">
        <v>0</v>
      </c>
    </row>
    <row r="83" customFormat="false" ht="12.75" hidden="false" customHeight="false" outlineLevel="0" collapsed="false">
      <c r="A83" s="1" t="s">
        <v>196</v>
      </c>
      <c r="B83" s="1" t="s">
        <v>197</v>
      </c>
      <c r="C83" s="1" t="n">
        <v>1</v>
      </c>
      <c r="D83" s="1" t="n">
        <v>37200</v>
      </c>
      <c r="E83" s="1" t="n">
        <v>0</v>
      </c>
      <c r="F83" s="60" t="n">
        <v>0</v>
      </c>
    </row>
    <row r="84" customFormat="false" ht="12.75" hidden="false" customHeight="false" outlineLevel="0" collapsed="false">
      <c r="A84" s="1" t="s">
        <v>198</v>
      </c>
      <c r="B84" s="1" t="s">
        <v>199</v>
      </c>
      <c r="C84" s="1" t="n">
        <v>100</v>
      </c>
      <c r="D84" s="1" t="n">
        <v>240</v>
      </c>
      <c r="E84" s="1" t="n">
        <v>0</v>
      </c>
      <c r="F84" s="60" t="n">
        <v>0</v>
      </c>
    </row>
    <row r="85" customFormat="false" ht="12.75" hidden="false" customHeight="false" outlineLevel="0" collapsed="false">
      <c r="A85" s="1" t="s">
        <v>200</v>
      </c>
      <c r="B85" s="1" t="s">
        <v>201</v>
      </c>
      <c r="C85" s="1" t="n">
        <v>6</v>
      </c>
      <c r="D85" s="1" t="n">
        <v>4167</v>
      </c>
      <c r="E85" s="1" t="n">
        <v>0</v>
      </c>
      <c r="F85" s="60" t="n">
        <v>0</v>
      </c>
    </row>
    <row r="86" customFormat="false" ht="12.75" hidden="false" customHeight="false" outlineLevel="0" collapsed="false">
      <c r="A86" s="1" t="s">
        <v>202</v>
      </c>
      <c r="B86" s="1" t="s">
        <v>203</v>
      </c>
      <c r="C86" s="1" t="n">
        <v>60</v>
      </c>
      <c r="D86" s="1" t="n">
        <v>750</v>
      </c>
      <c r="E86" s="1" t="n">
        <v>0</v>
      </c>
      <c r="F86" s="60" t="n">
        <v>0</v>
      </c>
    </row>
    <row r="87" customFormat="false" ht="12.75" hidden="false" customHeight="false" outlineLevel="0" collapsed="false">
      <c r="A87" s="1" t="s">
        <v>204</v>
      </c>
      <c r="B87" s="1" t="s">
        <v>205</v>
      </c>
      <c r="C87" s="1" t="n">
        <v>12000</v>
      </c>
      <c r="D87" s="1" t="n">
        <v>190000</v>
      </c>
      <c r="E87" s="1" t="n">
        <v>0</v>
      </c>
      <c r="F87" s="60" t="n">
        <v>0</v>
      </c>
    </row>
    <row r="88" customFormat="false" ht="12.75" hidden="false" customHeight="false" outlineLevel="0" collapsed="false">
      <c r="A88" s="1" t="s">
        <v>207</v>
      </c>
      <c r="B88" s="1" t="s">
        <v>208</v>
      </c>
      <c r="C88" s="1" t="n">
        <v>1569</v>
      </c>
      <c r="D88" s="1" t="n">
        <v>1187.05</v>
      </c>
      <c r="E88" s="1" t="n">
        <v>663</v>
      </c>
      <c r="F88" s="2" t="n">
        <v>0</v>
      </c>
      <c r="G88" s="0" t="s">
        <v>544</v>
      </c>
    </row>
    <row r="89" customFormat="false" ht="12.75" hidden="false" customHeight="false" outlineLevel="0" collapsed="false">
      <c r="A89" s="1" t="s">
        <v>209</v>
      </c>
      <c r="B89" s="1" t="s">
        <v>210</v>
      </c>
      <c r="C89" s="1" t="n">
        <v>12</v>
      </c>
      <c r="D89" s="1" t="n">
        <v>16682</v>
      </c>
      <c r="E89" s="1" t="n">
        <v>6</v>
      </c>
      <c r="F89" s="2" t="n">
        <v>0</v>
      </c>
      <c r="G89" s="0" t="s">
        <v>544</v>
      </c>
    </row>
    <row r="90" customFormat="false" ht="12.75" hidden="false" customHeight="false" outlineLevel="0" collapsed="false">
      <c r="A90" s="1" t="s">
        <v>211</v>
      </c>
      <c r="B90" s="1" t="s">
        <v>212</v>
      </c>
      <c r="C90" s="1" t="n">
        <v>125</v>
      </c>
      <c r="D90" s="1" t="n">
        <v>93000</v>
      </c>
      <c r="E90" s="1" t="n">
        <v>118</v>
      </c>
      <c r="F90" s="2" t="n">
        <v>0</v>
      </c>
      <c r="G90" s="0" t="s">
        <v>544</v>
      </c>
    </row>
    <row r="91" customFormat="false" ht="12.75" hidden="false" customHeight="false" outlineLevel="0" collapsed="false">
      <c r="A91" s="1" t="s">
        <v>213</v>
      </c>
      <c r="B91" s="1" t="s">
        <v>214</v>
      </c>
      <c r="C91" s="1" t="n">
        <v>2</v>
      </c>
      <c r="D91" s="1" t="n">
        <v>41300</v>
      </c>
      <c r="E91" s="1" t="n">
        <v>2</v>
      </c>
      <c r="F91" s="2" t="n">
        <v>0</v>
      </c>
      <c r="G91" s="0" t="s">
        <v>544</v>
      </c>
    </row>
    <row r="92" customFormat="false" ht="12.75" hidden="false" customHeight="false" outlineLevel="0" collapsed="false">
      <c r="A92" s="1" t="s">
        <v>215</v>
      </c>
      <c r="B92" s="1" t="s">
        <v>216</v>
      </c>
      <c r="C92" s="1" t="n">
        <v>6</v>
      </c>
      <c r="D92" s="1" t="n">
        <v>33333.33</v>
      </c>
      <c r="E92" s="1" t="n">
        <v>0</v>
      </c>
      <c r="F92" s="60" t="n">
        <v>0</v>
      </c>
    </row>
    <row r="93" customFormat="false" ht="12.75" hidden="false" customHeight="false" outlineLevel="0" collapsed="false">
      <c r="A93" s="1" t="s">
        <v>217</v>
      </c>
      <c r="B93" s="1" t="s">
        <v>218</v>
      </c>
      <c r="C93" s="1" t="n">
        <v>11</v>
      </c>
      <c r="D93" s="1" t="n">
        <v>4363.64</v>
      </c>
      <c r="E93" s="1" t="n">
        <v>0</v>
      </c>
      <c r="F93" s="60" t="n">
        <v>0</v>
      </c>
    </row>
    <row r="94" customFormat="false" ht="12.75" hidden="false" customHeight="false" outlineLevel="0" collapsed="false">
      <c r="A94" s="1" t="s">
        <v>219</v>
      </c>
      <c r="B94" s="1" t="s">
        <v>220</v>
      </c>
      <c r="C94" s="1" t="n">
        <v>1</v>
      </c>
      <c r="D94" s="1" t="n">
        <v>175000</v>
      </c>
      <c r="E94" s="1" t="n">
        <v>0</v>
      </c>
      <c r="F94" s="60" t="n">
        <v>0</v>
      </c>
    </row>
    <row r="95" customFormat="false" ht="12.75" hidden="false" customHeight="false" outlineLevel="0" collapsed="false">
      <c r="A95" s="1" t="s">
        <v>221</v>
      </c>
      <c r="B95" s="1" t="s">
        <v>222</v>
      </c>
      <c r="C95" s="1" t="n">
        <v>0</v>
      </c>
      <c r="D95" s="1" t="n">
        <v>750</v>
      </c>
      <c r="E95" s="1" t="n">
        <v>0</v>
      </c>
      <c r="F95" s="60" t="n">
        <v>0</v>
      </c>
    </row>
    <row r="96" customFormat="false" ht="12.75" hidden="false" customHeight="false" outlineLevel="0" collapsed="false">
      <c r="A96" s="1" t="s">
        <v>223</v>
      </c>
      <c r="B96" s="1" t="s">
        <v>224</v>
      </c>
      <c r="C96" s="1" t="n">
        <v>50</v>
      </c>
      <c r="D96" s="1" t="n">
        <v>5000</v>
      </c>
      <c r="E96" s="1" t="n">
        <v>0</v>
      </c>
      <c r="F96" s="60" t="n">
        <v>0</v>
      </c>
    </row>
    <row r="97" customFormat="false" ht="12.75" hidden="false" customHeight="false" outlineLevel="0" collapsed="false">
      <c r="A97" s="1" t="s">
        <v>225</v>
      </c>
      <c r="B97" s="1" t="s">
        <v>226</v>
      </c>
      <c r="C97" s="1" t="n">
        <v>47</v>
      </c>
      <c r="D97" s="1" t="n">
        <v>800</v>
      </c>
      <c r="E97" s="1" t="n">
        <v>40</v>
      </c>
      <c r="F97" s="60" t="n">
        <v>250</v>
      </c>
    </row>
    <row r="98" customFormat="false" ht="12.75" hidden="false" customHeight="false" outlineLevel="0" collapsed="false">
      <c r="A98" s="1" t="s">
        <v>227</v>
      </c>
      <c r="B98" s="1" t="s">
        <v>228</v>
      </c>
      <c r="C98" s="1" t="n">
        <v>47</v>
      </c>
      <c r="D98" s="1" t="n">
        <v>800</v>
      </c>
      <c r="E98" s="1" t="n">
        <v>42</v>
      </c>
      <c r="F98" s="60" t="n">
        <v>250</v>
      </c>
    </row>
    <row r="99" customFormat="false" ht="12.75" hidden="false" customHeight="false" outlineLevel="0" collapsed="false">
      <c r="A99" s="1" t="s">
        <v>229</v>
      </c>
      <c r="B99" s="1" t="s">
        <v>230</v>
      </c>
      <c r="C99" s="1" t="n">
        <v>48</v>
      </c>
      <c r="D99" s="1" t="n">
        <v>800</v>
      </c>
      <c r="E99" s="1" t="n">
        <v>50</v>
      </c>
      <c r="F99" s="60" t="n">
        <v>300</v>
      </c>
    </row>
    <row r="100" customFormat="false" ht="12.75" hidden="false" customHeight="false" outlineLevel="0" collapsed="false">
      <c r="A100" s="1" t="s">
        <v>231</v>
      </c>
      <c r="B100" s="1" t="s">
        <v>232</v>
      </c>
      <c r="C100" s="1" t="n">
        <v>50</v>
      </c>
      <c r="D100" s="1" t="n">
        <v>1250</v>
      </c>
      <c r="E100" s="1" t="n">
        <v>46</v>
      </c>
      <c r="F100" s="60" t="n">
        <v>375</v>
      </c>
    </row>
    <row r="101" customFormat="false" ht="12.75" hidden="false" customHeight="false" outlineLevel="0" collapsed="false">
      <c r="A101" s="1" t="s">
        <v>233</v>
      </c>
      <c r="B101" s="1" t="s">
        <v>234</v>
      </c>
      <c r="C101" s="1" t="n">
        <v>50</v>
      </c>
      <c r="D101" s="1" t="n">
        <v>1250</v>
      </c>
      <c r="E101" s="1" t="n">
        <v>46</v>
      </c>
      <c r="F101" s="60" t="n">
        <v>375</v>
      </c>
    </row>
    <row r="102" customFormat="false" ht="12.75" hidden="false" customHeight="false" outlineLevel="0" collapsed="false">
      <c r="A102" s="1" t="s">
        <v>235</v>
      </c>
      <c r="B102" s="1" t="s">
        <v>236</v>
      </c>
      <c r="C102" s="1" t="n">
        <v>50</v>
      </c>
      <c r="D102" s="1" t="n">
        <v>1250</v>
      </c>
      <c r="E102" s="1" t="n">
        <v>83</v>
      </c>
      <c r="F102" s="60" t="n">
        <v>500</v>
      </c>
    </row>
    <row r="103" customFormat="false" ht="12.75" hidden="false" customHeight="false" outlineLevel="0" collapsed="false">
      <c r="A103" s="1" t="s">
        <v>237</v>
      </c>
      <c r="B103" s="1" t="s">
        <v>238</v>
      </c>
      <c r="C103" s="1" t="n">
        <v>46</v>
      </c>
      <c r="D103" s="1" t="n">
        <v>2500</v>
      </c>
      <c r="E103" s="1" t="n">
        <v>42</v>
      </c>
      <c r="F103" s="60" t="n">
        <v>750</v>
      </c>
    </row>
    <row r="104" customFormat="false" ht="12.75" hidden="false" customHeight="false" outlineLevel="0" collapsed="false">
      <c r="A104" s="1" t="s">
        <v>239</v>
      </c>
      <c r="B104" s="1" t="s">
        <v>240</v>
      </c>
      <c r="C104" s="1" t="n">
        <v>53</v>
      </c>
      <c r="D104" s="1" t="n">
        <v>2500</v>
      </c>
      <c r="E104" s="1" t="n">
        <v>53</v>
      </c>
      <c r="F104" s="60" t="n">
        <v>750</v>
      </c>
    </row>
    <row r="105" customFormat="false" ht="12.75" hidden="false" customHeight="false" outlineLevel="0" collapsed="false">
      <c r="A105" s="1" t="s">
        <v>241</v>
      </c>
      <c r="B105" s="1" t="s">
        <v>242</v>
      </c>
      <c r="C105" s="1" t="n">
        <v>46</v>
      </c>
      <c r="D105" s="1" t="n">
        <v>2500</v>
      </c>
      <c r="E105" s="1" t="n">
        <v>25</v>
      </c>
      <c r="F105" s="60" t="n">
        <v>1000</v>
      </c>
    </row>
    <row r="106" customFormat="false" ht="12.75" hidden="false" customHeight="false" outlineLevel="0" collapsed="false">
      <c r="A106" s="1" t="s">
        <v>254</v>
      </c>
      <c r="B106" s="1" t="s">
        <v>255</v>
      </c>
      <c r="C106" s="1" t="n">
        <v>4</v>
      </c>
      <c r="D106" s="1" t="n">
        <v>10000</v>
      </c>
      <c r="E106" s="1" t="n">
        <v>0</v>
      </c>
      <c r="F106" s="60" t="n">
        <v>0</v>
      </c>
    </row>
    <row r="107" customFormat="false" ht="12.75" hidden="false" customHeight="false" outlineLevel="0" collapsed="false">
      <c r="A107" s="1" t="s">
        <v>257</v>
      </c>
      <c r="B107" s="1" t="s">
        <v>258</v>
      </c>
      <c r="C107" s="1" t="n">
        <v>4</v>
      </c>
      <c r="D107" s="1" t="n">
        <v>177600</v>
      </c>
      <c r="E107" s="1" t="n">
        <v>0</v>
      </c>
      <c r="F107" s="60" t="n">
        <v>177600</v>
      </c>
    </row>
    <row r="108" customFormat="false" ht="12.75" hidden="false" customHeight="false" outlineLevel="0" collapsed="false">
      <c r="A108" s="1" t="s">
        <v>546</v>
      </c>
      <c r="B108" s="1" t="s">
        <v>547</v>
      </c>
      <c r="C108" s="1" t="n">
        <v>2646.3</v>
      </c>
      <c r="D108" s="1" t="n">
        <v>0</v>
      </c>
      <c r="E108" s="1" t="n">
        <v>0</v>
      </c>
      <c r="F108" s="60" t="n">
        <v>0</v>
      </c>
    </row>
    <row r="109" customFormat="false" ht="12.75" hidden="false" customHeight="false" outlineLevel="0" collapsed="false">
      <c r="A109" s="1" t="s">
        <v>548</v>
      </c>
      <c r="B109" s="1" t="s">
        <v>549</v>
      </c>
      <c r="C109" s="1" t="n">
        <v>0</v>
      </c>
      <c r="D109" s="1" t="n">
        <v>0</v>
      </c>
      <c r="E109" s="1" t="n">
        <v>0</v>
      </c>
      <c r="F109" s="60" t="n">
        <v>0</v>
      </c>
    </row>
    <row r="110" customFormat="false" ht="12.75" hidden="false" customHeight="false" outlineLevel="0" collapsed="false">
      <c r="A110" s="1" t="s">
        <v>550</v>
      </c>
      <c r="B110" s="1" t="s">
        <v>551</v>
      </c>
      <c r="C110" s="1" t="n">
        <v>1741.84</v>
      </c>
      <c r="D110" s="1" t="n">
        <v>0</v>
      </c>
      <c r="E110" s="1" t="n">
        <v>0</v>
      </c>
      <c r="F110" s="60" t="n">
        <v>0</v>
      </c>
    </row>
    <row r="111" customFormat="false" ht="12.75" hidden="false" customHeight="false" outlineLevel="0" collapsed="false">
      <c r="A111" s="1" t="s">
        <v>552</v>
      </c>
      <c r="B111" s="1" t="s">
        <v>553</v>
      </c>
      <c r="C111" s="1" t="n">
        <v>0</v>
      </c>
      <c r="D111" s="1" t="n">
        <v>0</v>
      </c>
      <c r="E111" s="1" t="n">
        <v>0</v>
      </c>
      <c r="F111" s="60" t="n">
        <v>0</v>
      </c>
    </row>
    <row r="112" customFormat="false" ht="12.75" hidden="false" customHeight="false" outlineLevel="0" collapsed="false">
      <c r="A112" s="1" t="s">
        <v>554</v>
      </c>
      <c r="B112" s="1" t="s">
        <v>555</v>
      </c>
      <c r="C112" s="1" t="n">
        <v>988.73</v>
      </c>
      <c r="D112" s="1" t="n">
        <v>0</v>
      </c>
      <c r="E112" s="1" t="n">
        <v>0</v>
      </c>
      <c r="F112" s="60" t="n">
        <v>0</v>
      </c>
    </row>
    <row r="113" customFormat="false" ht="12.75" hidden="false" customHeight="false" outlineLevel="0" collapsed="false">
      <c r="A113" s="1" t="s">
        <v>556</v>
      </c>
      <c r="B113" s="1" t="s">
        <v>557</v>
      </c>
      <c r="C113" s="1" t="n">
        <v>0</v>
      </c>
      <c r="D113" s="1" t="n">
        <v>0</v>
      </c>
      <c r="E113" s="1" t="n">
        <v>0</v>
      </c>
      <c r="F113" s="60" t="n">
        <v>0</v>
      </c>
    </row>
    <row r="114" customFormat="false" ht="12.75" hidden="false" customHeight="false" outlineLevel="0" collapsed="false">
      <c r="A114" s="1" t="s">
        <v>558</v>
      </c>
      <c r="B114" s="1" t="s">
        <v>58</v>
      </c>
      <c r="C114" s="1" t="n">
        <v>17814</v>
      </c>
      <c r="D114" s="1" t="n">
        <v>227.92</v>
      </c>
      <c r="E114" s="1" t="n">
        <v>10230</v>
      </c>
      <c r="F114" s="60" t="n">
        <v>200.046811000585</v>
      </c>
    </row>
    <row r="115" customFormat="false" ht="12.75" hidden="false" customHeight="false" outlineLevel="0" collapsed="false">
      <c r="A115" s="1" t="s">
        <v>559</v>
      </c>
      <c r="B115" s="1" t="s">
        <v>60</v>
      </c>
      <c r="C115" s="1" t="n">
        <v>42932.9</v>
      </c>
      <c r="D115" s="1" t="n">
        <v>202.94</v>
      </c>
      <c r="E115" s="1" t="n">
        <v>13968</v>
      </c>
      <c r="F115" s="64" t="n">
        <v>160.20618556701</v>
      </c>
    </row>
    <row r="116" customFormat="false" ht="12.75" hidden="false" customHeight="false" outlineLevel="0" collapsed="false">
      <c r="A116" s="1" t="s">
        <v>259</v>
      </c>
      <c r="B116" s="1" t="s">
        <v>560</v>
      </c>
      <c r="C116" s="1" t="n">
        <v>3905.92</v>
      </c>
      <c r="D116" s="1" t="n">
        <v>403.05</v>
      </c>
      <c r="E116" s="1" t="n">
        <v>3473.12</v>
      </c>
      <c r="F116" s="60" t="n">
        <v>370.385818561001</v>
      </c>
    </row>
    <row r="117" customFormat="false" ht="12.75" hidden="false" customHeight="false" outlineLevel="0" collapsed="false">
      <c r="A117" s="1" t="s">
        <v>262</v>
      </c>
      <c r="B117" s="1" t="s">
        <v>561</v>
      </c>
      <c r="C117" s="1" t="n">
        <v>1112.2</v>
      </c>
      <c r="D117" s="1" t="n">
        <v>905.78</v>
      </c>
      <c r="E117" s="1" t="n">
        <v>890.72</v>
      </c>
      <c r="F117" s="60" t="n">
        <v>812.710616130771</v>
      </c>
    </row>
    <row r="118" customFormat="false" ht="12.75" hidden="false" customHeight="false" outlineLevel="0" collapsed="false">
      <c r="A118" s="1" t="s">
        <v>264</v>
      </c>
      <c r="B118" s="1" t="s">
        <v>562</v>
      </c>
      <c r="C118" s="1" t="n">
        <v>0</v>
      </c>
      <c r="D118" s="1" t="n">
        <v>492.22</v>
      </c>
      <c r="E118" s="1" t="n">
        <v>0</v>
      </c>
      <c r="F118" s="60" t="n">
        <v>0</v>
      </c>
    </row>
    <row r="119" customFormat="false" ht="12.75" hidden="false" customHeight="false" outlineLevel="0" collapsed="false">
      <c r="A119" s="1" t="s">
        <v>266</v>
      </c>
      <c r="B119" s="1" t="s">
        <v>563</v>
      </c>
      <c r="C119" s="1" t="n">
        <v>1381.75</v>
      </c>
      <c r="D119" s="1" t="n">
        <v>466.56</v>
      </c>
      <c r="E119" s="1" t="n">
        <v>645.62</v>
      </c>
      <c r="F119" s="60" t="n">
        <v>609.311979182801</v>
      </c>
    </row>
    <row r="120" customFormat="false" ht="12.75" hidden="false" customHeight="false" outlineLevel="0" collapsed="false">
      <c r="A120" s="1" t="s">
        <v>268</v>
      </c>
      <c r="B120" s="1" t="s">
        <v>564</v>
      </c>
      <c r="C120" s="1" t="n">
        <v>1181.51</v>
      </c>
      <c r="D120" s="1" t="n">
        <v>494.89</v>
      </c>
      <c r="E120" s="1" t="n">
        <v>929.92</v>
      </c>
      <c r="F120" s="60" t="n">
        <v>425.321748107364</v>
      </c>
    </row>
    <row r="121" customFormat="false" ht="12.75" hidden="false" customHeight="false" outlineLevel="0" collapsed="false">
      <c r="A121" s="1" t="s">
        <v>270</v>
      </c>
      <c r="B121" s="1" t="s">
        <v>565</v>
      </c>
      <c r="C121" s="1" t="n">
        <v>1207.53</v>
      </c>
      <c r="D121" s="1" t="n">
        <v>1008</v>
      </c>
      <c r="E121" s="1" t="n">
        <v>961.82</v>
      </c>
      <c r="F121" s="60" t="n">
        <v>837.572102888274</v>
      </c>
    </row>
    <row r="122" customFormat="false" ht="12.75" hidden="false" customHeight="false" outlineLevel="0" collapsed="false">
      <c r="A122" s="1" t="s">
        <v>272</v>
      </c>
      <c r="B122" s="1" t="s">
        <v>566</v>
      </c>
      <c r="C122" s="1" t="n">
        <v>1166.6</v>
      </c>
      <c r="D122" s="1" t="n">
        <v>528.44</v>
      </c>
      <c r="E122" s="1" t="n">
        <v>924.82</v>
      </c>
      <c r="F122" s="60" t="n">
        <v>456.664864514176</v>
      </c>
    </row>
    <row r="123" customFormat="false" ht="12.75" hidden="false" customHeight="false" outlineLevel="0" collapsed="false">
      <c r="A123" s="1" t="s">
        <v>274</v>
      </c>
      <c r="B123" s="1" t="s">
        <v>567</v>
      </c>
      <c r="C123" s="1" t="n">
        <v>887.95</v>
      </c>
      <c r="D123" s="1" t="n">
        <v>623.78</v>
      </c>
      <c r="E123" s="1" t="n">
        <v>558.22</v>
      </c>
      <c r="F123" s="60" t="n">
        <v>893.058650711189</v>
      </c>
    </row>
    <row r="124" customFormat="false" ht="12.75" hidden="false" customHeight="false" outlineLevel="0" collapsed="false">
      <c r="A124" s="1" t="s">
        <v>276</v>
      </c>
      <c r="B124" s="1" t="s">
        <v>568</v>
      </c>
      <c r="C124" s="1" t="n">
        <v>1191.09</v>
      </c>
      <c r="D124" s="1" t="n">
        <v>1184.67</v>
      </c>
      <c r="E124" s="1" t="n">
        <v>946.92</v>
      </c>
      <c r="F124" s="60" t="n">
        <v>999.858066151312</v>
      </c>
    </row>
    <row r="125" customFormat="false" ht="12.75" hidden="false" customHeight="false" outlineLevel="0" collapsed="false">
      <c r="A125" s="1" t="s">
        <v>278</v>
      </c>
      <c r="B125" s="1" t="s">
        <v>569</v>
      </c>
      <c r="C125" s="1" t="n">
        <v>1083.29</v>
      </c>
      <c r="D125" s="1" t="n">
        <v>763.56</v>
      </c>
      <c r="E125" s="1" t="n">
        <v>810.02</v>
      </c>
      <c r="F125" s="60" t="n">
        <v>753.356213426829</v>
      </c>
    </row>
    <row r="126" customFormat="false" ht="12.75" hidden="false" customHeight="false" outlineLevel="0" collapsed="false">
      <c r="A126" s="1" t="s">
        <v>280</v>
      </c>
      <c r="B126" s="1" t="s">
        <v>570</v>
      </c>
      <c r="C126" s="1" t="n">
        <v>1211.6</v>
      </c>
      <c r="D126" s="1" t="n">
        <v>561.11</v>
      </c>
      <c r="E126" s="1" t="n">
        <v>966.42</v>
      </c>
      <c r="F126" s="60" t="n">
        <v>464.021853852362</v>
      </c>
    </row>
    <row r="127" customFormat="false" ht="12.75" hidden="false" customHeight="false" outlineLevel="0" collapsed="false">
      <c r="A127" s="1" t="s">
        <v>282</v>
      </c>
      <c r="B127" s="1" t="s">
        <v>571</v>
      </c>
      <c r="C127" s="1" t="n">
        <v>1200.12</v>
      </c>
      <c r="D127" s="1" t="n">
        <v>747.11</v>
      </c>
      <c r="E127" s="1" t="n">
        <v>948.22</v>
      </c>
      <c r="F127" s="60" t="n">
        <v>629.696905781359</v>
      </c>
    </row>
    <row r="128" customFormat="false" ht="12.75" hidden="false" customHeight="false" outlineLevel="0" collapsed="false">
      <c r="A128" s="1" t="s">
        <v>284</v>
      </c>
      <c r="B128" s="1" t="s">
        <v>572</v>
      </c>
      <c r="C128" s="1" t="n">
        <v>1201.22</v>
      </c>
      <c r="D128" s="1" t="n">
        <v>747.11</v>
      </c>
      <c r="E128" s="1" t="n">
        <v>945.12</v>
      </c>
      <c r="F128" s="60" t="n">
        <v>631.762315896394</v>
      </c>
    </row>
    <row r="129" customFormat="false" ht="12.75" hidden="false" customHeight="false" outlineLevel="0" collapsed="false">
      <c r="A129" s="1" t="s">
        <v>286</v>
      </c>
      <c r="B129" s="1" t="s">
        <v>573</v>
      </c>
      <c r="C129" s="1" t="n">
        <v>1145.07</v>
      </c>
      <c r="D129" s="1" t="n">
        <v>686.89</v>
      </c>
      <c r="E129" s="1" t="n">
        <v>883.32</v>
      </c>
      <c r="F129" s="65" t="n">
        <v>621.475343024046</v>
      </c>
    </row>
    <row r="130" customFormat="false" ht="12.75" hidden="false" customHeight="false" outlineLevel="0" collapsed="false">
      <c r="A130" s="1" t="s">
        <v>288</v>
      </c>
      <c r="B130" s="1" t="s">
        <v>574</v>
      </c>
      <c r="C130" s="1" t="n">
        <v>1122.02</v>
      </c>
      <c r="D130" s="1" t="n">
        <v>528.44</v>
      </c>
      <c r="E130" s="1" t="n">
        <v>906.42</v>
      </c>
      <c r="F130" s="60" t="n">
        <v>465.934997021248</v>
      </c>
    </row>
    <row r="131" customFormat="false" ht="12.75" hidden="false" customHeight="false" outlineLevel="0" collapsed="false">
      <c r="A131" s="1" t="s">
        <v>290</v>
      </c>
      <c r="B131" s="1" t="s">
        <v>575</v>
      </c>
      <c r="C131" s="1" t="n">
        <v>1212.7</v>
      </c>
      <c r="D131" s="1" t="n">
        <v>673.11</v>
      </c>
      <c r="E131" s="1" t="n">
        <v>971.92</v>
      </c>
      <c r="F131" s="65" t="n">
        <v>553.492468515927</v>
      </c>
    </row>
    <row r="132" customFormat="false" ht="12.75" hidden="false" customHeight="false" outlineLevel="0" collapsed="false">
      <c r="A132" s="1" t="s">
        <v>292</v>
      </c>
      <c r="B132" s="1" t="s">
        <v>576</v>
      </c>
      <c r="C132" s="1" t="n">
        <v>1170.44</v>
      </c>
      <c r="D132" s="1" t="n">
        <v>698</v>
      </c>
      <c r="E132" s="1" t="n">
        <v>929.02</v>
      </c>
      <c r="F132" s="60" t="n">
        <v>600.462422768078</v>
      </c>
    </row>
    <row r="133" customFormat="false" ht="12.75" hidden="false" customHeight="false" outlineLevel="0" collapsed="false">
      <c r="A133" s="1" t="s">
        <v>294</v>
      </c>
      <c r="B133" s="1" t="s">
        <v>577</v>
      </c>
      <c r="C133" s="1" t="n">
        <v>1207.3</v>
      </c>
      <c r="D133" s="1" t="n">
        <v>664.89</v>
      </c>
      <c r="E133" s="1" t="n">
        <v>965.02</v>
      </c>
      <c r="F133" s="65" t="n">
        <v>550.640608484798</v>
      </c>
    </row>
    <row r="134" customFormat="false" ht="12.75" hidden="false" customHeight="false" outlineLevel="0" collapsed="false">
      <c r="A134" s="1" t="s">
        <v>296</v>
      </c>
      <c r="B134" s="1" t="s">
        <v>578</v>
      </c>
      <c r="C134" s="1" t="n">
        <v>1168.93</v>
      </c>
      <c r="D134" s="1" t="n">
        <v>766.67</v>
      </c>
      <c r="E134" s="1" t="n">
        <v>925.32</v>
      </c>
      <c r="F134" s="65" t="n">
        <v>662.170924653093</v>
      </c>
    </row>
    <row r="135" customFormat="false" ht="12.75" hidden="false" customHeight="false" outlineLevel="0" collapsed="false">
      <c r="A135" s="1" t="s">
        <v>298</v>
      </c>
      <c r="B135" s="1" t="s">
        <v>579</v>
      </c>
      <c r="C135" s="1" t="n">
        <v>1193.29</v>
      </c>
      <c r="D135" s="1" t="n">
        <v>1004.22</v>
      </c>
      <c r="E135" s="1" t="n">
        <v>927.82</v>
      </c>
      <c r="F135" s="60" t="n">
        <v>865.010885732146</v>
      </c>
    </row>
    <row r="136" customFormat="false" ht="12.75" hidden="false" customHeight="false" outlineLevel="0" collapsed="false">
      <c r="A136" s="1" t="s">
        <v>300</v>
      </c>
      <c r="B136" s="1" t="s">
        <v>580</v>
      </c>
      <c r="C136" s="1" t="n">
        <v>1225.4</v>
      </c>
      <c r="D136" s="1" t="n">
        <v>922.22</v>
      </c>
      <c r="E136" s="1" t="n">
        <v>982.32</v>
      </c>
      <c r="F136" s="65" t="n">
        <v>750.305399462497</v>
      </c>
    </row>
    <row r="137" customFormat="false" ht="12.75" hidden="false" customHeight="false" outlineLevel="0" collapsed="false">
      <c r="A137" s="1" t="s">
        <v>302</v>
      </c>
      <c r="B137" s="1" t="s">
        <v>581</v>
      </c>
      <c r="C137" s="1" t="n">
        <v>1198.87</v>
      </c>
      <c r="D137" s="1" t="n">
        <v>862</v>
      </c>
      <c r="E137" s="1" t="n">
        <v>956.42</v>
      </c>
      <c r="F137" s="60" t="n">
        <v>720.301122937622</v>
      </c>
    </row>
    <row r="138" customFormat="false" ht="12.75" hidden="false" customHeight="false" outlineLevel="0" collapsed="false">
      <c r="A138" s="1" t="s">
        <v>304</v>
      </c>
      <c r="B138" s="1" t="s">
        <v>582</v>
      </c>
      <c r="C138" s="1" t="n">
        <v>1178.07</v>
      </c>
      <c r="D138" s="1" t="n">
        <v>934.22</v>
      </c>
      <c r="E138" s="1" t="n">
        <v>935.32</v>
      </c>
      <c r="F138" s="60" t="n">
        <v>798.261985202925</v>
      </c>
    </row>
    <row r="139" customFormat="false" ht="12.75" hidden="false" customHeight="false" outlineLevel="0" collapsed="false">
      <c r="A139" s="1" t="s">
        <v>306</v>
      </c>
      <c r="B139" s="1" t="s">
        <v>583</v>
      </c>
      <c r="C139" s="1" t="n">
        <v>1197.12</v>
      </c>
      <c r="D139" s="1" t="n">
        <v>845.56</v>
      </c>
      <c r="E139" s="1" t="n">
        <v>938.12</v>
      </c>
      <c r="F139" s="60" t="n">
        <v>720.342813286147</v>
      </c>
    </row>
    <row r="140" customFormat="false" ht="12.75" hidden="false" customHeight="false" outlineLevel="0" collapsed="false">
      <c r="A140" s="1" t="s">
        <v>308</v>
      </c>
      <c r="B140" s="1" t="s">
        <v>584</v>
      </c>
      <c r="C140" s="1" t="n">
        <v>1073.89</v>
      </c>
      <c r="D140" s="1" t="n">
        <v>1130</v>
      </c>
      <c r="E140" s="1" t="n">
        <v>804.72</v>
      </c>
      <c r="F140" s="60" t="n">
        <v>1122.24873247838</v>
      </c>
    </row>
    <row r="141" customFormat="false" ht="12.75" hidden="false" customHeight="false" outlineLevel="0" collapsed="false">
      <c r="A141" s="1" t="s">
        <v>310</v>
      </c>
      <c r="B141" s="1" t="s">
        <v>585</v>
      </c>
      <c r="C141" s="1" t="n">
        <v>969.02</v>
      </c>
      <c r="D141" s="1" t="n">
        <v>512</v>
      </c>
      <c r="E141" s="1" t="n">
        <v>724.72</v>
      </c>
      <c r="F141" s="60" t="n">
        <v>564.618611325753</v>
      </c>
    </row>
    <row r="142" customFormat="false" ht="12.75" hidden="false" customHeight="false" outlineLevel="0" collapsed="false">
      <c r="A142" s="1" t="s">
        <v>312</v>
      </c>
      <c r="B142" s="1" t="s">
        <v>586</v>
      </c>
      <c r="C142" s="1" t="n">
        <v>1041.19</v>
      </c>
      <c r="D142" s="1" t="n">
        <v>686.89</v>
      </c>
      <c r="E142" s="1" t="n">
        <v>794.22</v>
      </c>
      <c r="F142" s="60" t="n">
        <v>691.195890307472</v>
      </c>
    </row>
    <row r="143" customFormat="false" ht="12.75" hidden="false" customHeight="false" outlineLevel="0" collapsed="false">
      <c r="A143" s="1" t="s">
        <v>314</v>
      </c>
      <c r="B143" s="1" t="s">
        <v>587</v>
      </c>
      <c r="C143" s="1" t="n">
        <v>1017.95</v>
      </c>
      <c r="D143" s="1" t="n">
        <v>938.44</v>
      </c>
      <c r="E143" s="1" t="n">
        <v>761.92</v>
      </c>
      <c r="F143" s="60" t="n">
        <v>984.361612767745</v>
      </c>
    </row>
    <row r="144" customFormat="false" ht="12.75" hidden="false" customHeight="false" outlineLevel="0" collapsed="false">
      <c r="A144" s="1" t="s">
        <v>316</v>
      </c>
      <c r="B144" s="1" t="s">
        <v>588</v>
      </c>
      <c r="C144" s="1" t="n">
        <v>1238.22</v>
      </c>
      <c r="D144" s="1" t="n">
        <v>796.22</v>
      </c>
      <c r="E144" s="1" t="n">
        <v>995.82</v>
      </c>
      <c r="F144" s="60" t="n">
        <v>639.011869614991</v>
      </c>
    </row>
    <row r="145" customFormat="false" ht="12.75" hidden="false" customHeight="false" outlineLevel="0" collapsed="false">
      <c r="A145" s="1" t="s">
        <v>318</v>
      </c>
      <c r="B145" s="1" t="s">
        <v>589</v>
      </c>
      <c r="C145" s="1" t="n">
        <v>1216.32</v>
      </c>
      <c r="D145" s="1" t="n">
        <v>698</v>
      </c>
      <c r="E145" s="1" t="n">
        <v>970.72</v>
      </c>
      <c r="F145" s="60" t="n">
        <v>574.667875391462</v>
      </c>
    </row>
    <row r="146" customFormat="false" ht="12.75" hidden="false" customHeight="false" outlineLevel="0" collapsed="false">
      <c r="A146" s="1" t="s">
        <v>320</v>
      </c>
      <c r="B146" s="1" t="s">
        <v>590</v>
      </c>
      <c r="C146" s="1" t="n">
        <v>1196.1</v>
      </c>
      <c r="D146" s="1" t="n">
        <v>763.33</v>
      </c>
      <c r="E146" s="1" t="n">
        <v>946.12</v>
      </c>
      <c r="F146" s="60" t="n">
        <v>644.985414112375</v>
      </c>
    </row>
    <row r="147" customFormat="false" ht="12.75" hidden="false" customHeight="false" outlineLevel="0" collapsed="false">
      <c r="A147" s="1" t="s">
        <v>322</v>
      </c>
      <c r="B147" s="1" t="s">
        <v>591</v>
      </c>
      <c r="C147" s="1" t="n">
        <v>1099.89</v>
      </c>
      <c r="D147" s="1" t="n">
        <v>643.33</v>
      </c>
      <c r="E147" s="1" t="n">
        <v>869.32</v>
      </c>
      <c r="F147" s="60" t="n">
        <v>591.441586527401</v>
      </c>
    </row>
    <row r="148" customFormat="false" ht="12.75" hidden="false" customHeight="false" outlineLevel="0" collapsed="false">
      <c r="A148" s="1" t="s">
        <v>324</v>
      </c>
      <c r="B148" s="1" t="s">
        <v>592</v>
      </c>
      <c r="C148" s="1" t="n">
        <v>1085.68</v>
      </c>
      <c r="D148" s="1" t="n">
        <v>517.56</v>
      </c>
      <c r="E148" s="1" t="n">
        <v>877.22</v>
      </c>
      <c r="F148" s="60" t="n">
        <v>471.524133056702</v>
      </c>
    </row>
    <row r="149" customFormat="false" ht="12.75" hidden="false" customHeight="false" outlineLevel="0" collapsed="false">
      <c r="A149" s="1" t="s">
        <v>326</v>
      </c>
      <c r="B149" s="1" t="s">
        <v>593</v>
      </c>
      <c r="C149" s="1" t="n">
        <v>1494.28</v>
      </c>
      <c r="D149" s="1" t="n">
        <v>619.42</v>
      </c>
      <c r="E149" s="1" t="n">
        <v>1803.52</v>
      </c>
      <c r="F149" s="60" t="n">
        <v>450.776610505451</v>
      </c>
    </row>
    <row r="150" customFormat="false" ht="12.75" hidden="false" customHeight="false" outlineLevel="0" collapsed="false">
      <c r="A150" s="1" t="s">
        <v>328</v>
      </c>
      <c r="B150" s="1" t="s">
        <v>594</v>
      </c>
      <c r="C150" s="1" t="n">
        <v>1188.61</v>
      </c>
      <c r="D150" s="1" t="n">
        <v>667.33</v>
      </c>
      <c r="E150" s="1" t="n">
        <v>947.12</v>
      </c>
      <c r="F150" s="60" t="n">
        <v>563.110059971281</v>
      </c>
    </row>
    <row r="151" customFormat="false" ht="12.75" hidden="false" customHeight="false" outlineLevel="0" collapsed="false">
      <c r="A151" s="1" t="s">
        <v>330</v>
      </c>
      <c r="B151" s="1" t="s">
        <v>595</v>
      </c>
      <c r="C151" s="1" t="n">
        <v>1175.07</v>
      </c>
      <c r="D151" s="1" t="n">
        <v>574.44</v>
      </c>
      <c r="E151" s="1" t="n">
        <v>924.92</v>
      </c>
      <c r="F151" s="60" t="n">
        <v>496.362928685724</v>
      </c>
    </row>
    <row r="152" customFormat="false" ht="12.75" hidden="false" customHeight="false" outlineLevel="0" collapsed="false">
      <c r="A152" s="1" t="s">
        <v>332</v>
      </c>
      <c r="B152" s="1" t="s">
        <v>596</v>
      </c>
      <c r="C152" s="1" t="n">
        <v>1156.9</v>
      </c>
      <c r="D152" s="1" t="n">
        <v>574.44</v>
      </c>
      <c r="E152" s="1" t="n">
        <v>924.32</v>
      </c>
      <c r="F152" s="60" t="n">
        <v>496.68513069067</v>
      </c>
    </row>
    <row r="153" customFormat="false" ht="12.75" hidden="false" customHeight="false" outlineLevel="0" collapsed="false">
      <c r="A153" s="1" t="s">
        <v>334</v>
      </c>
      <c r="B153" s="1" t="s">
        <v>597</v>
      </c>
      <c r="C153" s="1" t="n">
        <v>1105.95</v>
      </c>
      <c r="D153" s="1" t="n">
        <v>590.89</v>
      </c>
      <c r="E153" s="1" t="n">
        <v>862.72</v>
      </c>
      <c r="F153" s="65" t="n">
        <v>547.383160237389</v>
      </c>
    </row>
    <row r="154" customFormat="false" ht="12.75" hidden="false" customHeight="false" outlineLevel="0" collapsed="false">
      <c r="A154" s="1" t="s">
        <v>336</v>
      </c>
      <c r="B154" s="1" t="s">
        <v>598</v>
      </c>
      <c r="C154" s="1" t="n">
        <v>1185.8</v>
      </c>
      <c r="D154" s="1" t="n">
        <v>877.56</v>
      </c>
      <c r="E154" s="1" t="n">
        <v>943.32</v>
      </c>
      <c r="F154" s="60" t="n">
        <v>743.483017427808</v>
      </c>
    </row>
    <row r="155" customFormat="false" ht="12.75" hidden="false" customHeight="false" outlineLevel="0" collapsed="false">
      <c r="A155" s="1" t="s">
        <v>338</v>
      </c>
      <c r="B155" s="1" t="s">
        <v>599</v>
      </c>
      <c r="C155" s="1" t="n">
        <v>306.89</v>
      </c>
      <c r="D155" s="1" t="n">
        <v>518.67</v>
      </c>
      <c r="E155" s="1" t="n">
        <v>273.12</v>
      </c>
      <c r="F155" s="65" t="n">
        <v>1517.71528998243</v>
      </c>
    </row>
    <row r="156" customFormat="false" ht="12.75" hidden="false" customHeight="false" outlineLevel="0" collapsed="false">
      <c r="A156" s="1" t="s">
        <v>340</v>
      </c>
      <c r="B156" s="1" t="s">
        <v>600</v>
      </c>
      <c r="C156" s="1" t="n">
        <v>1199.75</v>
      </c>
      <c r="D156" s="1" t="n">
        <v>569.11</v>
      </c>
      <c r="E156" s="1" t="n">
        <v>956.62</v>
      </c>
      <c r="F156" s="60" t="n">
        <v>475.459011937865</v>
      </c>
    </row>
    <row r="157" customFormat="false" ht="12.75" hidden="false" customHeight="false" outlineLevel="0" collapsed="false">
      <c r="A157" s="1" t="s">
        <v>342</v>
      </c>
      <c r="B157" s="1" t="s">
        <v>601</v>
      </c>
      <c r="C157" s="1" t="n">
        <v>1135.36</v>
      </c>
      <c r="D157" s="1" t="n">
        <v>537.11</v>
      </c>
      <c r="E157" s="1" t="n">
        <v>846.12</v>
      </c>
      <c r="F157" s="60" t="n">
        <v>507.326620337541</v>
      </c>
    </row>
    <row r="158" customFormat="false" ht="12.75" hidden="false" customHeight="false" outlineLevel="0" collapsed="false">
      <c r="A158" s="1" t="s">
        <v>344</v>
      </c>
      <c r="B158" s="1" t="s">
        <v>602</v>
      </c>
      <c r="C158" s="1" t="n">
        <v>1125.9</v>
      </c>
      <c r="D158" s="1" t="n">
        <v>590.89</v>
      </c>
      <c r="E158" s="1" t="n">
        <v>953.52</v>
      </c>
      <c r="F158" s="60" t="n">
        <v>495.257991442235</v>
      </c>
    </row>
    <row r="159" customFormat="false" ht="12.75" hidden="false" customHeight="false" outlineLevel="0" collapsed="false">
      <c r="A159" s="1" t="s">
        <v>346</v>
      </c>
      <c r="B159" s="1" t="s">
        <v>603</v>
      </c>
      <c r="C159" s="1" t="n">
        <v>1199.28</v>
      </c>
      <c r="D159" s="1" t="n">
        <v>532.22</v>
      </c>
      <c r="E159" s="1" t="n">
        <v>957.42</v>
      </c>
      <c r="F159" s="60" t="n">
        <v>444.268972864574</v>
      </c>
    </row>
    <row r="160" customFormat="false" ht="12.75" hidden="false" customHeight="false" outlineLevel="0" collapsed="false">
      <c r="A160" s="1" t="s">
        <v>348</v>
      </c>
      <c r="B160" s="1" t="s">
        <v>604</v>
      </c>
      <c r="C160" s="1" t="n">
        <v>1226</v>
      </c>
      <c r="D160" s="1" t="n">
        <v>607.33</v>
      </c>
      <c r="E160" s="1" t="n">
        <v>984.42</v>
      </c>
      <c r="F160" s="60" t="n">
        <v>493.062717132931</v>
      </c>
    </row>
    <row r="161" customFormat="false" ht="12.75" hidden="false" customHeight="false" outlineLevel="0" collapsed="false">
      <c r="A161" s="1" t="s">
        <v>350</v>
      </c>
      <c r="B161" s="1" t="s">
        <v>605</v>
      </c>
      <c r="C161" s="1" t="n">
        <v>1186.5</v>
      </c>
      <c r="D161" s="1" t="n">
        <v>590.67</v>
      </c>
      <c r="E161" s="1" t="n">
        <v>942.42</v>
      </c>
      <c r="F161" s="60" t="n">
        <v>501.091233208124</v>
      </c>
    </row>
    <row r="162" customFormat="false" ht="12.75" hidden="false" customHeight="false" outlineLevel="0" collapsed="false">
      <c r="A162" s="1" t="s">
        <v>352</v>
      </c>
      <c r="B162" s="1" t="s">
        <v>606</v>
      </c>
      <c r="C162" s="1" t="n">
        <v>1212.62</v>
      </c>
      <c r="D162" s="1" t="n">
        <v>612.89</v>
      </c>
      <c r="E162" s="1" t="n">
        <v>971.62</v>
      </c>
      <c r="F162" s="60" t="n">
        <v>504.127951256664</v>
      </c>
    </row>
    <row r="163" customFormat="false" ht="12.75" hidden="false" customHeight="false" outlineLevel="0" collapsed="false">
      <c r="A163" s="1" t="s">
        <v>354</v>
      </c>
      <c r="B163" s="1" t="s">
        <v>607</v>
      </c>
      <c r="C163" s="1" t="n">
        <v>1206.64</v>
      </c>
      <c r="D163" s="1" t="n">
        <v>602</v>
      </c>
      <c r="E163" s="1" t="n">
        <v>966.52</v>
      </c>
      <c r="F163" s="60" t="n">
        <v>497.78421553615</v>
      </c>
    </row>
    <row r="164" customFormat="false" ht="12.75" hidden="false" customHeight="false" outlineLevel="0" collapsed="false">
      <c r="A164" s="1" t="s">
        <v>356</v>
      </c>
      <c r="B164" s="1" t="s">
        <v>608</v>
      </c>
      <c r="C164" s="1" t="n">
        <v>0</v>
      </c>
      <c r="D164" s="1" t="n">
        <v>517.56</v>
      </c>
      <c r="E164" s="1" t="n">
        <v>0</v>
      </c>
      <c r="F164" s="60" t="n">
        <v>0</v>
      </c>
    </row>
    <row r="165" customFormat="false" ht="12.75" hidden="false" customHeight="false" outlineLevel="0" collapsed="false">
      <c r="A165" s="1" t="s">
        <v>358</v>
      </c>
      <c r="B165" s="1" t="s">
        <v>536</v>
      </c>
      <c r="C165" s="1" t="n">
        <v>0</v>
      </c>
      <c r="D165" s="1" t="n">
        <v>542.22</v>
      </c>
      <c r="E165" s="1" t="n">
        <v>1977.22</v>
      </c>
      <c r="F165" s="2" t="n">
        <v>0</v>
      </c>
      <c r="G165" s="0" t="s">
        <v>544</v>
      </c>
    </row>
    <row r="166" customFormat="false" ht="12.75" hidden="false" customHeight="false" outlineLevel="0" collapsed="false">
      <c r="A166" s="1" t="s">
        <v>360</v>
      </c>
      <c r="B166" s="1" t="s">
        <v>609</v>
      </c>
      <c r="C166" s="1" t="n">
        <v>766.81</v>
      </c>
      <c r="D166" s="1" t="n">
        <v>669.67</v>
      </c>
      <c r="E166" s="1" t="n">
        <v>1321.62</v>
      </c>
      <c r="F166" s="60" t="n">
        <v>380.565669405729</v>
      </c>
    </row>
    <row r="167" customFormat="false" ht="12.75" hidden="false" customHeight="false" outlineLevel="0" collapsed="false">
      <c r="A167" s="1" t="s">
        <v>362</v>
      </c>
      <c r="B167" s="1" t="s">
        <v>610</v>
      </c>
      <c r="C167" s="1" t="n">
        <v>682.09</v>
      </c>
      <c r="D167" s="1" t="n">
        <v>694.89</v>
      </c>
      <c r="E167" s="1" t="n">
        <v>606.62</v>
      </c>
      <c r="F167" s="60" t="n">
        <v>915.491081731562</v>
      </c>
    </row>
    <row r="168" customFormat="false" ht="12.75" hidden="false" customHeight="false" outlineLevel="0" collapsed="false">
      <c r="A168" s="1" t="s">
        <v>364</v>
      </c>
      <c r="B168" s="1" t="s">
        <v>611</v>
      </c>
      <c r="C168" s="1" t="n">
        <v>1192.28</v>
      </c>
      <c r="D168" s="1" t="n">
        <v>683.78</v>
      </c>
      <c r="E168" s="1" t="n">
        <v>950.32</v>
      </c>
      <c r="F168" s="60" t="n">
        <v>575.043353817661</v>
      </c>
    </row>
    <row r="169" customFormat="false" ht="12.75" hidden="false" customHeight="false" outlineLevel="0" collapsed="false">
      <c r="A169" s="1" t="s">
        <v>366</v>
      </c>
      <c r="B169" s="1" t="s">
        <v>612</v>
      </c>
      <c r="C169" s="1" t="n">
        <v>750.24</v>
      </c>
      <c r="D169" s="1" t="n">
        <v>2082.22</v>
      </c>
      <c r="E169" s="1" t="n">
        <v>504.92</v>
      </c>
      <c r="F169" s="60" t="n">
        <v>1647.89669650638</v>
      </c>
    </row>
    <row r="170" customFormat="false" ht="12.75" hidden="false" customHeight="false" outlineLevel="0" collapsed="false">
      <c r="A170" s="1" t="s">
        <v>368</v>
      </c>
      <c r="B170" s="1" t="s">
        <v>613</v>
      </c>
      <c r="C170" s="1" t="n">
        <v>0</v>
      </c>
      <c r="D170" s="1" t="n">
        <v>0</v>
      </c>
      <c r="E170" s="1" t="n">
        <v>0</v>
      </c>
      <c r="F170" s="60" t="n">
        <v>0</v>
      </c>
    </row>
    <row r="171" customFormat="false" ht="12.75" hidden="false" customHeight="false" outlineLevel="0" collapsed="false">
      <c r="A171" s="1" t="s">
        <v>370</v>
      </c>
      <c r="B171" s="1" t="s">
        <v>614</v>
      </c>
      <c r="C171" s="1" t="n">
        <v>0</v>
      </c>
      <c r="D171" s="1" t="n">
        <v>0</v>
      </c>
      <c r="E171" s="1" t="n">
        <v>0</v>
      </c>
      <c r="F171" s="60" t="n">
        <v>0</v>
      </c>
    </row>
    <row r="172" customFormat="false" ht="12.75" hidden="false" customHeight="false" outlineLevel="0" collapsed="false">
      <c r="A172" s="1" t="s">
        <v>372</v>
      </c>
      <c r="B172" s="1" t="s">
        <v>615</v>
      </c>
      <c r="C172" s="1" t="n">
        <v>0</v>
      </c>
      <c r="D172" s="1" t="n">
        <v>0</v>
      </c>
      <c r="E172" s="1" t="n">
        <v>0</v>
      </c>
      <c r="F172" s="60" t="n">
        <v>0</v>
      </c>
    </row>
    <row r="173" customFormat="false" ht="12.75" hidden="false" customHeight="false" outlineLevel="0" collapsed="false">
      <c r="A173" s="1" t="s">
        <v>374</v>
      </c>
      <c r="B173" s="1" t="s">
        <v>616</v>
      </c>
      <c r="C173" s="1" t="n">
        <v>748.74</v>
      </c>
      <c r="D173" s="1" t="n">
        <v>1672</v>
      </c>
      <c r="E173" s="1" t="n">
        <v>505.42</v>
      </c>
      <c r="F173" s="65" t="n">
        <v>1321.93265007321</v>
      </c>
    </row>
    <row r="174" customFormat="false" ht="12.75" hidden="false" customHeight="false" outlineLevel="0" collapsed="false">
      <c r="A174" s="1" t="s">
        <v>376</v>
      </c>
      <c r="B174" s="1" t="s">
        <v>617</v>
      </c>
      <c r="C174" s="1" t="n">
        <v>753.72</v>
      </c>
      <c r="D174" s="1" t="n">
        <v>2240.89</v>
      </c>
      <c r="E174" s="1" t="n">
        <v>509.02</v>
      </c>
      <c r="F174" s="60" t="n">
        <v>1759.18274331068</v>
      </c>
    </row>
    <row r="175" customFormat="false" ht="12.75" hidden="false" customHeight="false" outlineLevel="0" collapsed="false">
      <c r="A175" s="1" t="s">
        <v>378</v>
      </c>
      <c r="B175" s="1" t="s">
        <v>618</v>
      </c>
      <c r="C175" s="1" t="n">
        <v>25882.02</v>
      </c>
      <c r="D175" s="1" t="n">
        <v>443.85</v>
      </c>
      <c r="E175" s="1" t="n">
        <v>19831.04</v>
      </c>
      <c r="F175" s="60" t="n">
        <v>312.757640426817</v>
      </c>
    </row>
    <row r="176" customFormat="false" ht="12.75" hidden="false" customHeight="false" outlineLevel="0" collapsed="false">
      <c r="A176" s="1" t="s">
        <v>380</v>
      </c>
      <c r="B176" s="1" t="s">
        <v>619</v>
      </c>
      <c r="C176" s="1" t="n">
        <v>7906.79</v>
      </c>
      <c r="D176" s="1" t="n">
        <v>487.31</v>
      </c>
      <c r="E176" s="1" t="n">
        <v>7480.14</v>
      </c>
      <c r="F176" s="60" t="n">
        <v>430.432336297494</v>
      </c>
    </row>
    <row r="177" customFormat="false" ht="12.75" hidden="false" customHeight="false" outlineLevel="0" collapsed="false">
      <c r="A177" s="1" t="s">
        <v>382</v>
      </c>
      <c r="B177" s="1" t="s">
        <v>620</v>
      </c>
      <c r="C177" s="1" t="n">
        <v>3500</v>
      </c>
      <c r="D177" s="1" t="n">
        <v>290.05</v>
      </c>
      <c r="E177" s="1" t="n">
        <v>3644.6</v>
      </c>
      <c r="F177" s="60" t="n">
        <v>273.554729183508</v>
      </c>
    </row>
    <row r="178" customFormat="false" ht="12.75" hidden="false" customHeight="false" outlineLevel="0" collapsed="false">
      <c r="A178" s="1" t="s">
        <v>384</v>
      </c>
      <c r="B178" s="1" t="s">
        <v>621</v>
      </c>
      <c r="C178" s="1" t="n">
        <v>1877.46</v>
      </c>
      <c r="D178" s="1" t="n">
        <v>290.05</v>
      </c>
      <c r="E178" s="1" t="n">
        <v>1772.54</v>
      </c>
      <c r="F178" s="60" t="n">
        <v>572.715763819152</v>
      </c>
    </row>
    <row r="179" customFormat="false" ht="12.75" hidden="false" customHeight="false" outlineLevel="0" collapsed="false">
      <c r="A179" s="1" t="s">
        <v>386</v>
      </c>
      <c r="B179" s="1" t="s">
        <v>622</v>
      </c>
      <c r="C179" s="1" t="n">
        <v>3105.45</v>
      </c>
      <c r="D179" s="1" t="n">
        <v>429.39</v>
      </c>
      <c r="E179" s="1" t="n">
        <v>2996.64</v>
      </c>
      <c r="F179" s="60" t="n">
        <v>501.51209354477</v>
      </c>
    </row>
    <row r="180" customFormat="false" ht="12.75" hidden="false" customHeight="false" outlineLevel="0" collapsed="false">
      <c r="A180" s="1" t="s">
        <v>388</v>
      </c>
      <c r="B180" s="1" t="s">
        <v>623</v>
      </c>
      <c r="C180" s="1" t="n">
        <v>5557.93</v>
      </c>
      <c r="D180" s="1" t="n">
        <v>416.95</v>
      </c>
      <c r="E180" s="1" t="n">
        <v>5440.04</v>
      </c>
      <c r="F180" s="60" t="n">
        <v>393.246887631366</v>
      </c>
    </row>
    <row r="181" customFormat="false" ht="12.75" hidden="false" customHeight="false" outlineLevel="0" collapsed="false">
      <c r="A181" s="1" t="s">
        <v>390</v>
      </c>
      <c r="B181" s="1" t="s">
        <v>624</v>
      </c>
      <c r="C181" s="1" t="n">
        <v>3101.15</v>
      </c>
      <c r="D181" s="1" t="n">
        <v>408.73</v>
      </c>
      <c r="E181" s="1" t="n">
        <v>2457.64</v>
      </c>
      <c r="F181" s="60" t="n">
        <v>582.090135251705</v>
      </c>
    </row>
    <row r="182" customFormat="false" ht="12.75" hidden="false" customHeight="false" outlineLevel="0" collapsed="false">
      <c r="A182" s="1" t="s">
        <v>392</v>
      </c>
      <c r="B182" s="1" t="s">
        <v>625</v>
      </c>
      <c r="C182" s="1" t="n">
        <v>2309.71</v>
      </c>
      <c r="D182" s="1" t="n">
        <v>412.84</v>
      </c>
      <c r="E182" s="1" t="n">
        <v>2320.84</v>
      </c>
      <c r="F182" s="60" t="n">
        <v>622.599403664191</v>
      </c>
    </row>
    <row r="183" customFormat="false" ht="12.75" hidden="false" customHeight="false" outlineLevel="0" collapsed="false">
      <c r="A183" s="1" t="s">
        <v>394</v>
      </c>
      <c r="B183" s="1" t="s">
        <v>395</v>
      </c>
      <c r="C183" s="1" t="n">
        <v>2488.15</v>
      </c>
      <c r="D183" s="1" t="n">
        <v>30186.23</v>
      </c>
      <c r="E183" s="1" t="n">
        <v>19593.42</v>
      </c>
      <c r="F183" s="60" t="n">
        <v>133.991769547325</v>
      </c>
    </row>
    <row r="184" customFormat="false" ht="12.75" hidden="false" customHeight="false" outlineLevel="0" collapsed="false">
      <c r="A184" s="1" t="s">
        <v>396</v>
      </c>
      <c r="B184" s="1" t="s">
        <v>397</v>
      </c>
      <c r="C184" s="1" t="n">
        <v>0</v>
      </c>
      <c r="D184" s="1" t="n">
        <v>220000</v>
      </c>
      <c r="E184" s="1" t="n">
        <v>0</v>
      </c>
      <c r="F184" s="60" t="n">
        <v>0</v>
      </c>
    </row>
    <row r="185" customFormat="false" ht="12.75" hidden="false" customHeight="false" outlineLevel="0" collapsed="false">
      <c r="A185" s="1" t="s">
        <v>399</v>
      </c>
      <c r="B185" s="1" t="s">
        <v>400</v>
      </c>
      <c r="C185" s="1" t="n">
        <v>0</v>
      </c>
      <c r="D185" s="1" t="n">
        <v>220000</v>
      </c>
      <c r="E185" s="1" t="n">
        <v>0</v>
      </c>
      <c r="F185" s="60" t="n">
        <v>0</v>
      </c>
    </row>
    <row r="186" customFormat="false" ht="12.75" hidden="false" customHeight="false" outlineLevel="0" collapsed="false">
      <c r="A186" s="1" t="s">
        <v>401</v>
      </c>
      <c r="B186" s="1" t="s">
        <v>402</v>
      </c>
      <c r="C186" s="1" t="n">
        <v>14345.65</v>
      </c>
      <c r="D186" s="1" t="n">
        <v>220000</v>
      </c>
      <c r="E186" s="1" t="n">
        <v>5874</v>
      </c>
      <c r="F186" s="60" t="n">
        <v>130.066577896138</v>
      </c>
    </row>
    <row r="187" customFormat="false" ht="12.75" hidden="false" customHeight="false" outlineLevel="0" collapsed="false">
      <c r="A187" s="1" t="s">
        <v>403</v>
      </c>
      <c r="B187" s="1" t="s">
        <v>404</v>
      </c>
      <c r="C187" s="1" t="n">
        <v>0</v>
      </c>
      <c r="D187" s="1" t="n">
        <v>2170000</v>
      </c>
      <c r="E187" s="1" t="n">
        <v>0</v>
      </c>
      <c r="F187" s="60" t="n">
        <v>0</v>
      </c>
    </row>
    <row r="188" customFormat="false" ht="12.75" hidden="false" customHeight="false" outlineLevel="0" collapsed="false">
      <c r="A188" s="1" t="s">
        <v>406</v>
      </c>
      <c r="B188" s="1" t="s">
        <v>407</v>
      </c>
      <c r="C188" s="1" t="n">
        <v>0</v>
      </c>
      <c r="D188" s="1" t="n">
        <v>2170000</v>
      </c>
      <c r="E188" s="1" t="n">
        <v>0</v>
      </c>
      <c r="F188" s="60" t="n">
        <v>0</v>
      </c>
    </row>
    <row r="189" customFormat="false" ht="12.75" hidden="false" customHeight="false" outlineLevel="0" collapsed="false">
      <c r="A189" s="1" t="s">
        <v>408</v>
      </c>
      <c r="B189" s="1" t="s">
        <v>409</v>
      </c>
      <c r="C189" s="1" t="n">
        <v>5915.6</v>
      </c>
      <c r="D189" s="1" t="n">
        <v>110000</v>
      </c>
      <c r="E189" s="1" t="n">
        <v>3880</v>
      </c>
      <c r="F189" s="60" t="n">
        <v>112.664359861592</v>
      </c>
    </row>
    <row r="190" customFormat="false" ht="12.75" hidden="false" customHeight="false" outlineLevel="0" collapsed="false">
      <c r="A190" s="1" t="s">
        <v>410</v>
      </c>
      <c r="B190" s="1" t="s">
        <v>411</v>
      </c>
      <c r="C190" s="1" t="n">
        <v>5443.5</v>
      </c>
      <c r="D190" s="1" t="n">
        <v>147.41</v>
      </c>
      <c r="E190" s="1" t="n">
        <v>3350</v>
      </c>
      <c r="F190" s="60" t="n">
        <v>145.229556650246</v>
      </c>
    </row>
    <row r="191" customFormat="false" ht="12.75" hidden="false" customHeight="false" outlineLevel="0" collapsed="false">
      <c r="A191" s="1" t="s">
        <v>412</v>
      </c>
      <c r="B191" s="1" t="s">
        <v>413</v>
      </c>
      <c r="C191" s="1" t="n">
        <v>15063.45</v>
      </c>
      <c r="D191" s="1" t="n">
        <v>15503.12</v>
      </c>
      <c r="E191" s="1" t="n">
        <v>8057</v>
      </c>
      <c r="F191" s="2" t="n">
        <v>0</v>
      </c>
      <c r="G191" s="0" t="s">
        <v>544</v>
      </c>
    </row>
    <row r="192" customFormat="false" ht="12.75" hidden="false" customHeight="false" outlineLevel="0" collapsed="false">
      <c r="A192" s="1" t="s">
        <v>414</v>
      </c>
      <c r="B192" s="1" t="s">
        <v>415</v>
      </c>
      <c r="C192" s="1" t="n">
        <v>174.25</v>
      </c>
      <c r="D192" s="1" t="n">
        <v>0</v>
      </c>
      <c r="E192" s="1" t="n">
        <v>0</v>
      </c>
      <c r="F192" s="60" t="n">
        <v>0</v>
      </c>
    </row>
    <row r="193" customFormat="false" ht="12.75" hidden="false" customHeight="false" outlineLevel="0" collapsed="false">
      <c r="A193" s="1" t="s">
        <v>417</v>
      </c>
      <c r="B193" s="1" t="s">
        <v>418</v>
      </c>
      <c r="C193" s="1" t="n">
        <v>5</v>
      </c>
      <c r="D193" s="1" t="n">
        <v>79570</v>
      </c>
      <c r="E193" s="1" t="n">
        <v>0</v>
      </c>
      <c r="F193" s="60" t="n">
        <v>0</v>
      </c>
    </row>
    <row r="194" customFormat="false" ht="12.75" hidden="false" customHeight="false" outlineLevel="0" collapsed="false">
      <c r="A194" s="1" t="s">
        <v>419</v>
      </c>
      <c r="B194" s="1" t="s">
        <v>420</v>
      </c>
      <c r="C194" s="1" t="n">
        <v>1</v>
      </c>
      <c r="D194" s="1" t="n">
        <v>505050</v>
      </c>
      <c r="E194" s="1" t="n">
        <v>0</v>
      </c>
      <c r="F194" s="60" t="n">
        <v>479798</v>
      </c>
    </row>
    <row r="195" customFormat="false" ht="12.75" hidden="false" customHeight="false" outlineLevel="0" collapsed="false">
      <c r="A195" s="1" t="s">
        <v>422</v>
      </c>
      <c r="B195" s="1" t="s">
        <v>423</v>
      </c>
      <c r="C195" s="1" t="n">
        <v>0</v>
      </c>
      <c r="D195" s="1" t="n">
        <v>108270.79</v>
      </c>
      <c r="E195" s="1" t="n">
        <v>0</v>
      </c>
      <c r="F195" s="60" t="n">
        <v>108270.79</v>
      </c>
    </row>
    <row r="196" customFormat="false" ht="12.75" hidden="false" customHeight="false" outlineLevel="0" collapsed="false">
      <c r="A196" s="1" t="s">
        <v>424</v>
      </c>
      <c r="B196" s="1" t="s">
        <v>626</v>
      </c>
      <c r="C196" s="1" t="n">
        <v>0</v>
      </c>
      <c r="D196" s="1" t="n">
        <v>90950.63</v>
      </c>
      <c r="E196" s="1" t="n">
        <v>0</v>
      </c>
      <c r="F196" s="60" t="n">
        <v>90950.63</v>
      </c>
    </row>
    <row r="197" customFormat="false" ht="12.75" hidden="false" customHeight="false" outlineLevel="0" collapsed="false">
      <c r="A197" s="1" t="s">
        <v>426</v>
      </c>
      <c r="B197" s="1" t="s">
        <v>427</v>
      </c>
      <c r="C197" s="1" t="n">
        <v>0</v>
      </c>
      <c r="D197" s="1" t="n">
        <v>3249969</v>
      </c>
      <c r="E197" s="1" t="n">
        <v>0</v>
      </c>
      <c r="F197" s="60" t="n">
        <v>3249969</v>
      </c>
    </row>
    <row r="198" customFormat="false" ht="12.75" hidden="false" customHeight="false" outlineLevel="0" collapsed="false">
      <c r="A198" s="1" t="s">
        <v>428</v>
      </c>
      <c r="B198" s="1" t="s">
        <v>627</v>
      </c>
      <c r="C198" s="1" t="n">
        <v>0</v>
      </c>
      <c r="D198" s="1" t="n">
        <v>351675.75</v>
      </c>
      <c r="E198" s="1" t="n">
        <v>0</v>
      </c>
      <c r="F198" s="60" t="n">
        <v>351675.75</v>
      </c>
    </row>
    <row r="199" customFormat="false" ht="12.75" hidden="false" customHeight="false" outlineLevel="0" collapsed="false">
      <c r="A199" s="1" t="s">
        <v>430</v>
      </c>
      <c r="B199" s="1" t="s">
        <v>628</v>
      </c>
      <c r="C199" s="1" t="n">
        <v>0</v>
      </c>
      <c r="D199" s="1" t="n">
        <v>351675.75</v>
      </c>
      <c r="E199" s="1" t="n">
        <v>0</v>
      </c>
      <c r="F199" s="60" t="n">
        <v>351675.75</v>
      </c>
    </row>
    <row r="200" customFormat="false" ht="12.75" hidden="false" customHeight="false" outlineLevel="0" collapsed="false">
      <c r="A200" s="1" t="s">
        <v>432</v>
      </c>
      <c r="B200" s="1" t="s">
        <v>629</v>
      </c>
      <c r="C200" s="1" t="n">
        <v>0</v>
      </c>
      <c r="D200" s="1" t="n">
        <v>139457.63</v>
      </c>
      <c r="E200" s="1" t="n">
        <v>0</v>
      </c>
      <c r="F200" s="60" t="n">
        <v>139457.63</v>
      </c>
    </row>
    <row r="201" customFormat="false" ht="12.75" hidden="false" customHeight="false" outlineLevel="0" collapsed="false">
      <c r="A201" s="1" t="s">
        <v>434</v>
      </c>
      <c r="B201" s="1" t="s">
        <v>630</v>
      </c>
      <c r="C201" s="1" t="n">
        <v>0</v>
      </c>
      <c r="D201" s="1" t="n">
        <v>2255575.5</v>
      </c>
      <c r="E201" s="1" t="n">
        <v>0</v>
      </c>
      <c r="F201" s="60" t="n">
        <v>2255575.5</v>
      </c>
    </row>
    <row r="202" customFormat="false" ht="12.75" hidden="false" customHeight="false" outlineLevel="0" collapsed="false">
      <c r="A202" s="1" t="s">
        <v>436</v>
      </c>
      <c r="B202" s="1" t="s">
        <v>437</v>
      </c>
      <c r="C202" s="1" t="n">
        <v>0</v>
      </c>
      <c r="D202" s="1" t="n">
        <v>379620</v>
      </c>
      <c r="E202" s="1" t="n">
        <v>0</v>
      </c>
      <c r="F202" s="60" t="n">
        <v>379620</v>
      </c>
    </row>
    <row r="203" customFormat="false" ht="12.75" hidden="false" customHeight="false" outlineLevel="0" collapsed="false">
      <c r="A203" s="1" t="s">
        <v>438</v>
      </c>
      <c r="B203" s="1" t="s">
        <v>439</v>
      </c>
      <c r="C203" s="1" t="n">
        <v>0</v>
      </c>
      <c r="D203" s="1" t="n">
        <v>1311000</v>
      </c>
      <c r="E203" s="1" t="n">
        <v>0</v>
      </c>
      <c r="F203" s="60" t="n">
        <v>0</v>
      </c>
    </row>
    <row r="204" customFormat="false" ht="12.75" hidden="false" customHeight="false" outlineLevel="0" collapsed="false">
      <c r="A204" s="1" t="s">
        <v>440</v>
      </c>
      <c r="B204" s="1" t="s">
        <v>441</v>
      </c>
      <c r="C204" s="1" t="n">
        <v>0</v>
      </c>
      <c r="D204" s="1" t="n">
        <v>764750</v>
      </c>
      <c r="E204" s="1" t="n">
        <v>0</v>
      </c>
      <c r="F204" s="60" t="n">
        <v>0</v>
      </c>
    </row>
    <row r="205" customFormat="false" ht="12.75" hidden="false" customHeight="false" outlineLevel="0" collapsed="false">
      <c r="A205" s="1" t="s">
        <v>442</v>
      </c>
      <c r="B205" s="1" t="s">
        <v>631</v>
      </c>
      <c r="C205" s="1" t="n">
        <v>0</v>
      </c>
      <c r="D205" s="1" t="n">
        <v>2493750</v>
      </c>
      <c r="E205" s="1" t="n">
        <v>0</v>
      </c>
      <c r="F205" s="60" t="n">
        <v>0</v>
      </c>
    </row>
    <row r="206" customFormat="false" ht="12.75" hidden="false" customHeight="false" outlineLevel="0" collapsed="false">
      <c r="A206" s="1" t="s">
        <v>444</v>
      </c>
      <c r="B206" s="1" t="s">
        <v>632</v>
      </c>
      <c r="C206" s="1" t="n">
        <v>0</v>
      </c>
      <c r="D206" s="1" t="n">
        <v>1441625</v>
      </c>
      <c r="E206" s="1" t="n">
        <v>0</v>
      </c>
      <c r="F206" s="60" t="n">
        <v>0</v>
      </c>
    </row>
    <row r="207" customFormat="false" ht="12.75" hidden="false" customHeight="false" outlineLevel="0" collapsed="false">
      <c r="A207" s="1" t="s">
        <v>446</v>
      </c>
      <c r="B207" s="1" t="s">
        <v>633</v>
      </c>
      <c r="C207" s="1" t="n">
        <v>0</v>
      </c>
      <c r="D207" s="1" t="n">
        <v>178125</v>
      </c>
      <c r="E207" s="1" t="n">
        <v>0</v>
      </c>
      <c r="F207" s="60" t="n">
        <v>0</v>
      </c>
    </row>
    <row r="208" customFormat="false" ht="12.75" hidden="false" customHeight="false" outlineLevel="0" collapsed="false">
      <c r="A208" s="1" t="s">
        <v>448</v>
      </c>
      <c r="B208" s="1" t="s">
        <v>449</v>
      </c>
      <c r="C208" s="1" t="n">
        <v>0</v>
      </c>
      <c r="D208" s="1" t="n">
        <v>3740625</v>
      </c>
      <c r="E208" s="1" t="n">
        <v>0</v>
      </c>
      <c r="F208" s="60" t="n">
        <v>0</v>
      </c>
    </row>
    <row r="209" customFormat="false" ht="12.75" hidden="false" customHeight="false" outlineLevel="0" collapsed="false">
      <c r="A209" s="1" t="s">
        <v>450</v>
      </c>
      <c r="B209" s="1" t="s">
        <v>634</v>
      </c>
      <c r="C209" s="1" t="n">
        <v>0</v>
      </c>
      <c r="D209" s="1" t="n">
        <v>2846437.5</v>
      </c>
      <c r="E209" s="1" t="n">
        <v>0</v>
      </c>
      <c r="F209" s="60" t="n">
        <v>0</v>
      </c>
    </row>
    <row r="210" customFormat="false" ht="12.75" hidden="false" customHeight="false" outlineLevel="0" collapsed="false">
      <c r="A210" s="1" t="s">
        <v>452</v>
      </c>
      <c r="B210" s="1" t="s">
        <v>453</v>
      </c>
      <c r="C210" s="1" t="n">
        <v>0</v>
      </c>
      <c r="D210" s="1" t="n">
        <v>7184375</v>
      </c>
      <c r="E210" s="1" t="n">
        <v>0</v>
      </c>
      <c r="F210" s="60" t="n">
        <v>0</v>
      </c>
    </row>
    <row r="211" customFormat="false" ht="12.75" hidden="false" customHeight="false" outlineLevel="0" collapsed="false">
      <c r="A211" s="1" t="s">
        <v>454</v>
      </c>
      <c r="B211" s="1" t="s">
        <v>455</v>
      </c>
      <c r="C211" s="1" t="n">
        <v>0</v>
      </c>
      <c r="D211" s="1" t="n">
        <v>4429375</v>
      </c>
      <c r="E211" s="1" t="n">
        <v>0</v>
      </c>
      <c r="F211" s="60" t="n">
        <v>0</v>
      </c>
    </row>
    <row r="212" customFormat="false" ht="12.75" hidden="false" customHeight="false" outlineLevel="0" collapsed="false">
      <c r="A212" s="1" t="s">
        <v>456</v>
      </c>
      <c r="B212" s="1" t="s">
        <v>457</v>
      </c>
      <c r="C212" s="1" t="n">
        <v>1</v>
      </c>
      <c r="D212" s="1" t="n">
        <v>1033436.57</v>
      </c>
      <c r="E212" s="1" t="n">
        <v>0</v>
      </c>
      <c r="F212" s="60" t="n">
        <v>0</v>
      </c>
    </row>
    <row r="213" customFormat="false" ht="12.75" hidden="false" customHeight="false" outlineLevel="0" collapsed="false">
      <c r="A213" s="1" t="s">
        <v>635</v>
      </c>
      <c r="B213" s="1" t="s">
        <v>636</v>
      </c>
      <c r="C213" s="1" t="n">
        <v>0</v>
      </c>
      <c r="D213" s="1" t="n">
        <v>1</v>
      </c>
      <c r="E213" s="1" t="n">
        <v>0</v>
      </c>
      <c r="F213" s="60" t="n">
        <v>0</v>
      </c>
    </row>
    <row r="214" customFormat="false" ht="12.75" hidden="false" customHeight="false" outlineLevel="0" collapsed="false">
      <c r="A214" s="1" t="s">
        <v>637</v>
      </c>
      <c r="B214" s="1" t="s">
        <v>638</v>
      </c>
      <c r="C214" s="1" t="n">
        <v>2</v>
      </c>
      <c r="D214" s="1" t="n">
        <v>1</v>
      </c>
      <c r="E214" s="1" t="n">
        <v>0</v>
      </c>
      <c r="F214" s="60" t="n">
        <v>0</v>
      </c>
    </row>
    <row r="215" customFormat="false" ht="12.75" hidden="false" customHeight="false" outlineLevel="0" collapsed="false">
      <c r="A215" s="1" t="s">
        <v>639</v>
      </c>
      <c r="B215" s="1" t="s">
        <v>640</v>
      </c>
      <c r="C215" s="1" t="n">
        <v>0</v>
      </c>
      <c r="D215" s="1" t="n">
        <v>1</v>
      </c>
      <c r="E215" s="1" t="n">
        <v>0</v>
      </c>
      <c r="F215" s="60" t="n">
        <v>0</v>
      </c>
    </row>
    <row r="216" customFormat="false" ht="12.75" hidden="false" customHeight="false" outlineLevel="0" collapsed="false">
      <c r="A216" s="1" t="s">
        <v>641</v>
      </c>
      <c r="B216" s="1" t="s">
        <v>498</v>
      </c>
      <c r="C216" s="1" t="n">
        <v>2</v>
      </c>
      <c r="D216" s="1" t="n">
        <v>8000</v>
      </c>
      <c r="E216" s="1" t="n">
        <v>0</v>
      </c>
      <c r="F216" s="60" t="n">
        <v>8000</v>
      </c>
    </row>
    <row r="217" customFormat="false" ht="12.75" hidden="false" customHeight="false" outlineLevel="0" collapsed="false">
      <c r="A217" s="1" t="s">
        <v>642</v>
      </c>
      <c r="B217" s="1" t="s">
        <v>500</v>
      </c>
      <c r="C217" s="1" t="n">
        <v>2</v>
      </c>
      <c r="D217" s="1" t="n">
        <v>7000</v>
      </c>
      <c r="E217" s="1" t="n">
        <v>0</v>
      </c>
      <c r="F217" s="60" t="n">
        <v>0</v>
      </c>
    </row>
    <row r="218" customFormat="false" ht="12.75" hidden="false" customHeight="false" outlineLevel="0" collapsed="false">
      <c r="A218" s="1" t="s">
        <v>643</v>
      </c>
      <c r="B218" s="1" t="s">
        <v>502</v>
      </c>
      <c r="C218" s="1" t="n">
        <v>2</v>
      </c>
      <c r="D218" s="1" t="n">
        <v>4000</v>
      </c>
      <c r="E218" s="1" t="n">
        <v>11</v>
      </c>
      <c r="F218" s="60" t="n">
        <v>4000</v>
      </c>
    </row>
    <row r="219" customFormat="false" ht="12.75" hidden="false" customHeight="false" outlineLevel="0" collapsed="false">
      <c r="A219" s="1" t="s">
        <v>538</v>
      </c>
      <c r="B219" s="1" t="s">
        <v>504</v>
      </c>
      <c r="C219" s="1" t="n">
        <v>2</v>
      </c>
      <c r="D219" s="1" t="n">
        <v>34200</v>
      </c>
      <c r="E219" s="1" t="n">
        <v>1</v>
      </c>
      <c r="F219" s="2" t="n">
        <v>0</v>
      </c>
      <c r="G219" s="0" t="s">
        <v>544</v>
      </c>
    </row>
    <row r="220" customFormat="false" ht="12.75" hidden="false" customHeight="false" outlineLevel="0" collapsed="false">
      <c r="A220" s="1" t="s">
        <v>644</v>
      </c>
      <c r="B220" s="1" t="s">
        <v>506</v>
      </c>
      <c r="C220" s="1" t="n">
        <v>2</v>
      </c>
      <c r="D220" s="1" t="n">
        <v>12000</v>
      </c>
      <c r="E220" s="1" t="n">
        <v>0</v>
      </c>
      <c r="F220" s="60" t="n">
        <v>12000</v>
      </c>
    </row>
    <row r="221" customFormat="false" ht="12.75" hidden="false" customHeight="false" outlineLevel="0" collapsed="false">
      <c r="A221" s="1" t="s">
        <v>645</v>
      </c>
      <c r="B221" s="1" t="s">
        <v>508</v>
      </c>
      <c r="C221" s="1" t="n">
        <v>7</v>
      </c>
      <c r="D221" s="1" t="n">
        <v>40000</v>
      </c>
      <c r="E221" s="1" t="n">
        <v>0</v>
      </c>
      <c r="F221" s="60" t="n">
        <v>0</v>
      </c>
    </row>
    <row r="222" customFormat="false" ht="12.75" hidden="false" customHeight="false" outlineLevel="0" collapsed="false">
      <c r="A222" s="1" t="s">
        <v>539</v>
      </c>
      <c r="B222" s="1" t="s">
        <v>510</v>
      </c>
      <c r="C222" s="1" t="n">
        <v>30</v>
      </c>
      <c r="D222" s="1" t="n">
        <v>34200.21</v>
      </c>
      <c r="E222" s="1" t="n">
        <v>30</v>
      </c>
      <c r="F222" s="2" t="n">
        <v>0</v>
      </c>
      <c r="G222" s="0" t="s">
        <v>544</v>
      </c>
    </row>
    <row r="223" customFormat="false" ht="12.75" hidden="false" customHeight="false" outlineLevel="0" collapsed="false">
      <c r="A223" s="1" t="s">
        <v>646</v>
      </c>
      <c r="B223" s="1" t="s">
        <v>512</v>
      </c>
      <c r="C223" s="1" t="n">
        <v>1</v>
      </c>
      <c r="D223" s="1" t="n">
        <v>55000</v>
      </c>
      <c r="E223" s="1" t="n">
        <v>758</v>
      </c>
      <c r="F223" s="60" t="n">
        <v>79.155672823219</v>
      </c>
    </row>
    <row r="224" customFormat="false" ht="12.75" hidden="false" customHeight="false" outlineLevel="0" collapsed="false">
      <c r="A224" s="1" t="s">
        <v>540</v>
      </c>
      <c r="B224" s="1" t="s">
        <v>514</v>
      </c>
      <c r="C224" s="1" t="n">
        <v>10</v>
      </c>
      <c r="D224" s="1" t="n">
        <v>8000</v>
      </c>
      <c r="E224" s="1" t="n">
        <v>10</v>
      </c>
      <c r="F224" s="2" t="n">
        <v>0</v>
      </c>
      <c r="G224" s="0" t="s">
        <v>544</v>
      </c>
    </row>
    <row r="225" customFormat="false" ht="12.75" hidden="false" customHeight="false" outlineLevel="0" collapsed="false">
      <c r="A225" s="1" t="s">
        <v>458</v>
      </c>
      <c r="B225" s="1" t="s">
        <v>459</v>
      </c>
      <c r="C225" s="1" t="n">
        <v>3</v>
      </c>
      <c r="D225" s="1" t="n">
        <v>125000</v>
      </c>
      <c r="E225" s="1" t="n">
        <v>2</v>
      </c>
      <c r="F225" s="2" t="n">
        <v>0</v>
      </c>
      <c r="G225" s="0" t="s">
        <v>544</v>
      </c>
    </row>
    <row r="226" customFormat="false" ht="12.75" hidden="false" customHeight="false" outlineLevel="0" collapsed="false">
      <c r="A226" s="1" t="s">
        <v>461</v>
      </c>
      <c r="B226" s="1" t="s">
        <v>462</v>
      </c>
      <c r="C226" s="1" t="n">
        <v>4</v>
      </c>
      <c r="D226" s="1" t="n">
        <v>188700</v>
      </c>
      <c r="E226" s="1" t="n">
        <v>4</v>
      </c>
      <c r="F226" s="60" t="n">
        <v>188700</v>
      </c>
    </row>
    <row r="227" customFormat="false" ht="12.75" hidden="false" customHeight="false" outlineLevel="0" collapsed="false">
      <c r="A227" s="1" t="s">
        <v>463</v>
      </c>
      <c r="B227" s="1" t="s">
        <v>464</v>
      </c>
      <c r="C227" s="1" t="n">
        <v>10</v>
      </c>
      <c r="D227" s="1" t="n">
        <v>2700</v>
      </c>
      <c r="E227" s="1" t="n">
        <v>0</v>
      </c>
      <c r="F227" s="60" t="n">
        <v>0</v>
      </c>
    </row>
    <row r="228" customFormat="false" ht="12.75" hidden="false" customHeight="false" outlineLevel="0" collapsed="false">
      <c r="A228" s="1" t="s">
        <v>465</v>
      </c>
      <c r="B228" s="1" t="s">
        <v>466</v>
      </c>
      <c r="C228" s="1" t="n">
        <v>3</v>
      </c>
      <c r="D228" s="1" t="n">
        <v>20000</v>
      </c>
      <c r="E228" s="1" t="n">
        <v>0</v>
      </c>
      <c r="F228" s="60" t="n">
        <v>0</v>
      </c>
    </row>
    <row r="229" customFormat="false" ht="12.75" hidden="false" customHeight="false" outlineLevel="0" collapsed="false">
      <c r="A229" s="1" t="s">
        <v>467</v>
      </c>
      <c r="B229" s="1" t="s">
        <v>468</v>
      </c>
      <c r="C229" s="1" t="n">
        <v>2</v>
      </c>
      <c r="D229" s="1" t="n">
        <v>59250</v>
      </c>
      <c r="E229" s="1" t="n">
        <v>5</v>
      </c>
      <c r="F229" s="2" t="n">
        <v>0</v>
      </c>
      <c r="G229" s="0" t="s">
        <v>544</v>
      </c>
    </row>
    <row r="230" customFormat="false" ht="12.75" hidden="false" customHeight="false" outlineLevel="0" collapsed="false">
      <c r="A230" s="1" t="s">
        <v>469</v>
      </c>
      <c r="B230" s="1" t="s">
        <v>470</v>
      </c>
      <c r="C230" s="1" t="n">
        <v>0</v>
      </c>
      <c r="D230" s="1" t="n">
        <v>250000</v>
      </c>
      <c r="E230" s="1" t="n">
        <v>0</v>
      </c>
      <c r="F230" s="60" t="n">
        <v>0</v>
      </c>
    </row>
    <row r="231" customFormat="false" ht="12.75" hidden="false" customHeight="false" outlineLevel="0" collapsed="false">
      <c r="A231" s="1" t="s">
        <v>471</v>
      </c>
      <c r="B231" s="1" t="s">
        <v>472</v>
      </c>
      <c r="C231" s="1" t="n">
        <v>0</v>
      </c>
      <c r="D231" s="1" t="n">
        <v>0</v>
      </c>
      <c r="E231" s="1" t="n">
        <v>0</v>
      </c>
      <c r="F231" s="60" t="n">
        <v>0</v>
      </c>
    </row>
    <row r="232" customFormat="false" ht="12.75" hidden="false" customHeight="false" outlineLevel="0" collapsed="false">
      <c r="A232" s="1" t="s">
        <v>473</v>
      </c>
      <c r="B232" s="1" t="s">
        <v>474</v>
      </c>
      <c r="C232" s="1" t="n">
        <v>0</v>
      </c>
      <c r="D232" s="1" t="n">
        <v>0</v>
      </c>
      <c r="E232" s="1" t="n">
        <v>0</v>
      </c>
      <c r="F232" s="60" t="n">
        <v>0</v>
      </c>
    </row>
    <row r="233" customFormat="false" ht="12.75" hidden="false" customHeight="false" outlineLevel="0" collapsed="false">
      <c r="A233" s="1" t="s">
        <v>475</v>
      </c>
      <c r="B233" s="1" t="s">
        <v>647</v>
      </c>
      <c r="C233" s="1" t="n">
        <v>5</v>
      </c>
      <c r="D233" s="1" t="n">
        <v>35000</v>
      </c>
      <c r="E233" s="1" t="n">
        <v>2</v>
      </c>
      <c r="F233" s="60" t="n">
        <v>35000</v>
      </c>
    </row>
    <row r="234" customFormat="false" ht="12.75" hidden="false" customHeight="false" outlineLevel="0" collapsed="false">
      <c r="A234" s="1" t="s">
        <v>477</v>
      </c>
      <c r="B234" s="1" t="s">
        <v>478</v>
      </c>
      <c r="C234" s="1" t="n">
        <v>3</v>
      </c>
      <c r="D234" s="1" t="n">
        <v>65000</v>
      </c>
      <c r="E234" s="1" t="n">
        <v>2</v>
      </c>
      <c r="F234" s="60" t="n">
        <v>65000</v>
      </c>
    </row>
    <row r="235" customFormat="false" ht="12.75" hidden="false" customHeight="false" outlineLevel="0" collapsed="false">
      <c r="A235" s="1" t="s">
        <v>479</v>
      </c>
      <c r="B235" s="1" t="s">
        <v>480</v>
      </c>
      <c r="C235" s="1" t="n">
        <v>8</v>
      </c>
      <c r="D235" s="1" t="n">
        <v>66387.38</v>
      </c>
      <c r="E235" s="1" t="n">
        <v>1</v>
      </c>
      <c r="F235" s="60" t="n">
        <v>75000</v>
      </c>
    </row>
    <row r="236" customFormat="false" ht="12.75" hidden="false" customHeight="false" outlineLevel="0" collapsed="false">
      <c r="A236" s="1" t="s">
        <v>481</v>
      </c>
      <c r="B236" s="1" t="s">
        <v>482</v>
      </c>
      <c r="C236" s="1" t="n">
        <v>0</v>
      </c>
      <c r="D236" s="1" t="n">
        <v>10000</v>
      </c>
      <c r="E236" s="1" t="n">
        <v>3</v>
      </c>
      <c r="F236" s="2" t="n">
        <v>0</v>
      </c>
      <c r="G236" s="0" t="s">
        <v>544</v>
      </c>
    </row>
    <row r="237" customFormat="false" ht="12.75" hidden="false" customHeight="false" outlineLevel="0" collapsed="false">
      <c r="A237" s="1" t="s">
        <v>483</v>
      </c>
      <c r="B237" s="1" t="s">
        <v>484</v>
      </c>
      <c r="C237" s="1" t="n">
        <v>3</v>
      </c>
      <c r="D237" s="1" t="n">
        <v>185000</v>
      </c>
      <c r="E237" s="1" t="n">
        <v>0</v>
      </c>
      <c r="F237" s="60" t="n">
        <v>185000</v>
      </c>
    </row>
    <row r="238" customFormat="false" ht="12.75" hidden="false" customHeight="false" outlineLevel="0" collapsed="false">
      <c r="A238" s="1" t="s">
        <v>485</v>
      </c>
      <c r="B238" s="1" t="s">
        <v>486</v>
      </c>
      <c r="C238" s="1" t="n">
        <v>50</v>
      </c>
      <c r="D238" s="1" t="n">
        <v>4260</v>
      </c>
      <c r="E238" s="1" t="n">
        <v>50</v>
      </c>
      <c r="F238" s="2" t="n">
        <v>0</v>
      </c>
      <c r="G238" s="0" t="s">
        <v>544</v>
      </c>
    </row>
    <row r="239" customFormat="false" ht="12.75" hidden="false" customHeight="false" outlineLevel="0" collapsed="false">
      <c r="A239" s="1" t="s">
        <v>487</v>
      </c>
      <c r="B239" s="1" t="s">
        <v>488</v>
      </c>
      <c r="C239" s="1" t="n">
        <v>133</v>
      </c>
      <c r="D239" s="1" t="n">
        <v>12000</v>
      </c>
      <c r="E239" s="1" t="n">
        <v>0</v>
      </c>
      <c r="F239" s="60" t="n">
        <v>0</v>
      </c>
    </row>
    <row r="240" customFormat="false" ht="12.75" hidden="false" customHeight="false" outlineLevel="0" collapsed="false">
      <c r="A240" s="1" t="s">
        <v>489</v>
      </c>
      <c r="B240" s="1" t="s">
        <v>490</v>
      </c>
      <c r="C240" s="1" t="n">
        <v>1</v>
      </c>
      <c r="D240" s="1" t="n">
        <v>37200</v>
      </c>
      <c r="E240" s="1" t="n">
        <v>1</v>
      </c>
      <c r="F240" s="2" t="n">
        <v>0</v>
      </c>
      <c r="G240" s="0" t="s">
        <v>544</v>
      </c>
    </row>
    <row r="241" customFormat="false" ht="12.75" hidden="false" customHeight="false" outlineLevel="0" collapsed="false">
      <c r="A241" s="1" t="s">
        <v>491</v>
      </c>
      <c r="B241" s="1" t="s">
        <v>492</v>
      </c>
      <c r="C241" s="1" t="n">
        <v>2</v>
      </c>
      <c r="D241" s="1" t="n">
        <v>62400</v>
      </c>
      <c r="E241" s="1" t="n">
        <v>12</v>
      </c>
      <c r="F241" s="2" t="n">
        <v>0</v>
      </c>
      <c r="G241" s="0" t="s">
        <v>544</v>
      </c>
    </row>
    <row r="242" customFormat="false" ht="12.75" hidden="false" customHeight="false" outlineLevel="0" collapsed="false">
      <c r="A242" s="1" t="s">
        <v>493</v>
      </c>
      <c r="B242" s="1" t="s">
        <v>494</v>
      </c>
      <c r="C242" s="1" t="n">
        <v>2</v>
      </c>
      <c r="D242" s="1" t="n">
        <v>65000</v>
      </c>
      <c r="E242" s="1" t="n">
        <v>0</v>
      </c>
      <c r="F242" s="60" t="n">
        <v>0</v>
      </c>
    </row>
    <row r="243" customFormat="false" ht="12.75" hidden="false" customHeight="false" outlineLevel="0" collapsed="false">
      <c r="A243" s="1" t="s">
        <v>495</v>
      </c>
      <c r="B243" s="1" t="s">
        <v>496</v>
      </c>
      <c r="C243" s="1" t="n">
        <v>2</v>
      </c>
      <c r="D243" s="1" t="n">
        <v>32000</v>
      </c>
      <c r="E243" s="1" t="n">
        <v>1</v>
      </c>
      <c r="F243" s="2" t="n">
        <v>0</v>
      </c>
      <c r="G243" s="0" t="s">
        <v>544</v>
      </c>
    </row>
    <row r="244" customFormat="false" ht="12.75" hidden="false" customHeight="false" outlineLevel="0" collapsed="false">
      <c r="A244" s="3"/>
      <c r="B244" s="66" t="s">
        <v>648</v>
      </c>
      <c r="C244" s="3" t="n">
        <v>0</v>
      </c>
      <c r="D244" s="3" t="n">
        <v>0</v>
      </c>
      <c r="E244" s="3" t="n">
        <v>50</v>
      </c>
      <c r="F244" s="2" t="n">
        <v>375</v>
      </c>
      <c r="G244" s="3"/>
    </row>
    <row r="245" customFormat="false" ht="12.75" hidden="false" customHeight="false" outlineLevel="0" collapsed="false">
      <c r="A245" s="3"/>
      <c r="B245" s="66" t="s">
        <v>649</v>
      </c>
      <c r="C245" s="3" t="n">
        <v>0</v>
      </c>
      <c r="D245" s="3" t="n">
        <v>0</v>
      </c>
      <c r="E245" s="3" t="n">
        <v>50</v>
      </c>
      <c r="F245" s="2" t="n">
        <v>375</v>
      </c>
      <c r="G245" s="3"/>
    </row>
    <row r="246" customFormat="false" ht="12.75" hidden="false" customHeight="false" outlineLevel="0" collapsed="false">
      <c r="A246" s="3"/>
      <c r="B246" s="67" t="s">
        <v>650</v>
      </c>
      <c r="C246" s="3" t="n">
        <v>0</v>
      </c>
      <c r="D246" s="3" t="n">
        <v>0</v>
      </c>
      <c r="E246" s="3" t="n">
        <v>3</v>
      </c>
      <c r="F246" s="2" t="n">
        <v>465000</v>
      </c>
      <c r="G246" s="68"/>
    </row>
  </sheetData>
  <autoFilter ref="A1:G24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2026-10-23T02:45:48Z</dcterms:created>
  <dc:creator>Unknown Creator</dc:creator>
  <dc:description/>
  <dc:language>en-ID</dc:language>
  <cp:lastModifiedBy/>
  <dcterms:modified xsi:type="dcterms:W3CDTF">2026-10-24T12:36:13Z</dcterms:modified>
  <cp:revision>5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